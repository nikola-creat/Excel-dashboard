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charts/chart9.xml" ContentType="application/vnd.openxmlformats-officedocument.drawingml.chart+xml"/>
  <Override PartName="/xl/charts/chart10.xml" ContentType="application/vnd.openxmlformats-officedocument.drawingml.chart+xml"/>
  <Override PartName="/xl/theme/themeOverride3.xml" ContentType="application/vnd.openxmlformats-officedocument.themeOverrid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1.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6.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hidePivotFieldList="1"/>
  <mc:AlternateContent xmlns:mc="http://schemas.openxmlformats.org/markup-compatibility/2006">
    <mc:Choice Requires="x15">
      <x15ac:absPath xmlns:x15ac="http://schemas.microsoft.com/office/spreadsheetml/2010/11/ac" url="C:\Users\Asoliman14\Desktop\excel dashboard\"/>
    </mc:Choice>
  </mc:AlternateContent>
  <xr:revisionPtr revIDLastSave="0" documentId="13_ncr:1_{C2138654-B75F-4504-9B14-FDE6B48AB703}" xr6:coauthVersionLast="47" xr6:coauthVersionMax="47" xr10:uidLastSave="{00000000-0000-0000-0000-000000000000}"/>
  <bookViews>
    <workbookView xWindow="-120" yWindow="-120" windowWidth="20730" windowHeight="11310" tabRatio="836" activeTab="3" xr2:uid="{3FA3B9E3-C91F-430C-845C-FDFBC9723EED}"/>
  </bookViews>
  <sheets>
    <sheet name="Data Sheet" sheetId="6" r:id="rId1"/>
    <sheet name="Product Mapping" sheetId="9" state="hidden" r:id="rId2"/>
    <sheet name="Agent Mapping" sheetId="11" state="hidden" r:id="rId3"/>
    <sheet name="Overview Dashboard" sheetId="7" r:id="rId4"/>
    <sheet name="Agent Level Dashboard (1)" sheetId="18" state="hidden" r:id="rId5"/>
    <sheet name="Agent Level Dashboard (2)" sheetId="15" state="hidden" r:id="rId6"/>
    <sheet name="Neutral Tickets Dashboard" sheetId="13" r:id="rId7"/>
    <sheet name="remaining" sheetId="14" state="hidden" r:id="rId8"/>
    <sheet name="Data Preparation" sheetId="12" state="hidden" r:id="rId9"/>
    <sheet name="Background" sheetId="8" state="hidden" r:id="rId10"/>
  </sheets>
  <definedNames>
    <definedName name="_xlpm.FailedBusiness" hidden="1" xlm="1">#NAME?</definedName>
    <definedName name="_xlpm.FailedCompliance" hidden="1" xlm="1">#NAME?</definedName>
    <definedName name="Agent_List">OFFSET(Background!$W$2,0,0,COUNTA(Background!$W:$W)-2,1)</definedName>
    <definedName name="Custom">Background!$Q$3:$Q$14</definedName>
    <definedName name="MOM_Attribute">OFFSET('Data Preparation'!$X$1,COUNTA('Data Preparation'!$X:$X)-'Data Preparation'!$AB$2,1,'Data Preparation'!$AB$2,1)</definedName>
    <definedName name="MOM_Business">OFFSET('Data Preparation'!$X$1,COUNTA('Data Preparation'!$X:$X)-'Data Preparation'!$AB$2,2,'Data Preparation'!$AB$2,1)</definedName>
    <definedName name="MOM_Compliance">OFFSET('Data Preparation'!$X$1,COUNTA('Data Preparation'!$X:$X)-'Data Preparation'!$AB$2,3,'Data Preparation'!$AB$2,1)</definedName>
    <definedName name="MOM_Month">OFFSET('Data Preparation'!$X$1,COUNTA('Data Preparation'!$X:$X)-'Data Preparation'!$AB$2,0,'Data Preparation'!$AB$2,1)</definedName>
    <definedName name="Month_List">OFFSET(Background!$A$1,0,0,1,COUNTA(Background!$A$1:$M$1))</definedName>
    <definedName name="Month_List_Vertical">OFFSET(Background!$O$2,0,0,COUNTA(Background!$O:$O)-1,1)</definedName>
    <definedName name="MonthOnMonth">OFFSET('Data Preparation'!$X$1,0,0,COUNTA('Data Preparation'!$X:$X),4)</definedName>
    <definedName name="Product_List">OFFSET(Background!$S$2,0,0,COUNTA(Background!$S:$S)-1,1)</definedName>
    <definedName name="Region_List">OFFSET(Background!$U$2,0,0,COUNTA(Background!$U:$U)-1,1)</definedName>
    <definedName name="Region_List_NoAll">OFFSET(Background!$U$3,0,0,COUNTA(Background!$U:$U)-2,1)</definedName>
    <definedName name="Slicer_Month">#N/A</definedName>
    <definedName name="Slicer_Month1">#N/A</definedName>
    <definedName name="Slicer_Product_Pillar">#N/A</definedName>
    <definedName name="Slicer_Product_Pillar1">#N/A</definedName>
    <definedName name="Slicer_Region">#N/A</definedName>
    <definedName name="Slicer_Region1">#N/A</definedName>
    <definedName name="Slicer_Region11">#N/A</definedName>
    <definedName name="Slicer_Week">#N/A</definedName>
    <definedName name="Slicer_Week1">#N/A</definedName>
    <definedName name="Slicer_Week11">#N/A</definedName>
    <definedName name="TopFailedAttributes">OFFSET('Data Preparation'!$BC$1,1,0,'Data Preparation'!$BA$3,1)</definedName>
    <definedName name="TopFailedValues">OFFSET('Data Preparation'!$BC$1,1,1,'Data Preparation'!$BA$3,1)</definedName>
    <definedName name="Week_List">OFFSET(Background!$A$1,1,MATCH('Overview Dashboard'!$B$9,Background!$A$1:$M$1,0)-1,COUNTA(OFFSET(Background!$A$1,1,MATCH('Overview Dashboard'!$B$9,Background!$A$1:$M$1,0)-1,55)),1)</definedName>
    <definedName name="Week_List_TopFailed">OFFSET(Background!$A$1,1,MATCH('Data Preparation'!$BF$2,Background!$A$1:$M$1,0)-1,COUNTA(OFFSET(Background!$A$1,1,MATCH('Data Preparation'!$BF$2,Background!$A$1:$M$1,0)-1,55)),1)</definedName>
    <definedName name="WOW_Attribute">OFFSET('Data Preparation'!$AF$1,COUNTA('Data Preparation'!$AF:$AF)-'Data Preparation'!$AJ$2,1,'Data Preparation'!$AJ$2,1)</definedName>
    <definedName name="WOW_Business">OFFSET('Data Preparation'!$AF$1,COUNTA('Data Preparation'!$AF:$AF)-'Data Preparation'!$AJ$2,2,'Data Preparation'!$AJ$2,1)</definedName>
    <definedName name="WOW_Compliance">OFFSET('Data Preparation'!$AF$1,COUNTA('Data Preparation'!$AF:$AF)-'Data Preparation'!$AJ$2,3,'Data Preparation'!$AJ$2,1)</definedName>
    <definedName name="WOW_Week">OFFSET('Data Preparation'!$AF$1,COUNTA('Data Preparation'!$AF:$AF)-'Data Preparation'!$AJ$2,0,'Data Preparation'!$AJ$2,1)</definedName>
  </definedNames>
  <calcPr calcId="191029"/>
  <pivotCaches>
    <pivotCache cacheId="0" r:id="rId11"/>
  </pivotCaches>
  <extLst>
    <ext xmlns:x14="http://schemas.microsoft.com/office/spreadsheetml/2009/9/main" uri="{BBE1A952-AA13-448e-AADC-164F8A28A991}">
      <x14:slicerCaches>
        <x14:slicerCache r:id="rId12"/>
        <x14:slicerCache r:id="rId13"/>
        <x14:slicerCache r:id="rId14"/>
        <x14:slicerCache r:id="rId15"/>
        <x14:slicerCache r:id="rId16"/>
        <x14:slicerCache r:id="rId17"/>
        <x14:slicerCache r:id="rId18"/>
        <x14:slicerCache r:id="rId19"/>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N13" i="12" l="1"/>
  <c r="BN8" i="12"/>
  <c r="BN3" i="12"/>
  <c r="AX18" i="12"/>
  <c r="AX16" i="12"/>
  <c r="AX14" i="12"/>
  <c r="AX11" i="12"/>
  <c r="AX9" i="12"/>
  <c r="AX8" i="12"/>
  <c r="AX6" i="12"/>
  <c r="AX4" i="12"/>
  <c r="AX3" i="12"/>
  <c r="AX2" i="12"/>
  <c r="U3" i="8" a="1"/>
  <c r="U3" i="8" s="1"/>
  <c r="W2" i="8" a="1"/>
  <c r="W2" i="8" s="1"/>
  <c r="U2" i="8" a="1"/>
  <c r="U2" i="8" s="1"/>
  <c r="T5" i="12"/>
  <c r="T4" i="12"/>
  <c r="C168" i="6"/>
  <c r="E168" i="6"/>
  <c r="S168" i="6"/>
  <c r="T168" i="6"/>
  <c r="U168" i="6" s="1"/>
  <c r="AG168" i="6"/>
  <c r="AH168" i="6"/>
  <c r="AI168" i="6" s="1"/>
  <c r="AJ168" i="6"/>
  <c r="AK168" i="6"/>
  <c r="AN168" i="6" s="1"/>
  <c r="AM168" i="6"/>
  <c r="AO168" i="6" a="1"/>
  <c r="AO168" i="6" s="1"/>
  <c r="C167" i="6"/>
  <c r="E167" i="6"/>
  <c r="S167" i="6"/>
  <c r="T167" i="6"/>
  <c r="U167" i="6" s="1"/>
  <c r="AG167" i="6"/>
  <c r="AH167" i="6"/>
  <c r="AI167" i="6" s="1"/>
  <c r="AJ167" i="6"/>
  <c r="AK167" i="6"/>
  <c r="AN167" i="6" s="1"/>
  <c r="AM167" i="6"/>
  <c r="AO167" i="6" a="1"/>
  <c r="AO167" i="6" s="1"/>
  <c r="C166" i="6"/>
  <c r="E166" i="6"/>
  <c r="S166" i="6"/>
  <c r="T166" i="6"/>
  <c r="U166" i="6" s="1"/>
  <c r="AG166" i="6"/>
  <c r="AH166" i="6"/>
  <c r="AI166" i="6" s="1"/>
  <c r="AJ166" i="6"/>
  <c r="AK166" i="6"/>
  <c r="AN166" i="6" s="1"/>
  <c r="AM166" i="6"/>
  <c r="AO166" i="6" a="1"/>
  <c r="AO166" i="6" s="1"/>
  <c r="C165" i="6"/>
  <c r="E165" i="6"/>
  <c r="S165" i="6"/>
  <c r="T165" i="6"/>
  <c r="U165" i="6" s="1"/>
  <c r="AG165" i="6"/>
  <c r="AH165" i="6"/>
  <c r="AI165" i="6" s="1"/>
  <c r="AJ165" i="6"/>
  <c r="AK165" i="6"/>
  <c r="AN165" i="6" s="1"/>
  <c r="AM165" i="6"/>
  <c r="AO165" i="6" a="1"/>
  <c r="AO165" i="6" s="1"/>
  <c r="C164" i="6"/>
  <c r="E164" i="6"/>
  <c r="S164" i="6"/>
  <c r="T164" i="6"/>
  <c r="U164" i="6" s="1"/>
  <c r="AG164" i="6"/>
  <c r="AH164" i="6"/>
  <c r="AI164" i="6" s="1"/>
  <c r="AJ164" i="6"/>
  <c r="AK164" i="6"/>
  <c r="AN164" i="6" s="1"/>
  <c r="AM164" i="6"/>
  <c r="AO164" i="6" a="1"/>
  <c r="AO164" i="6" s="1"/>
  <c r="C163" i="6"/>
  <c r="E163" i="6"/>
  <c r="S163" i="6"/>
  <c r="T163" i="6"/>
  <c r="U163" i="6" s="1"/>
  <c r="AG163" i="6"/>
  <c r="AH163" i="6"/>
  <c r="AI163" i="6" s="1"/>
  <c r="AJ163" i="6"/>
  <c r="AK163" i="6"/>
  <c r="AN163" i="6" s="1"/>
  <c r="AM163" i="6"/>
  <c r="AO163" i="6" a="1"/>
  <c r="AO163" i="6" s="1"/>
  <c r="E2" i="6"/>
  <c r="E3" i="6"/>
  <c r="E4" i="6"/>
  <c r="E5" i="6"/>
  <c r="E6" i="6"/>
  <c r="E7" i="6"/>
  <c r="E8" i="6"/>
  <c r="E9" i="6"/>
  <c r="E10" i="6"/>
  <c r="E11" i="6"/>
  <c r="E12" i="6"/>
  <c r="E13" i="6"/>
  <c r="E14" i="6"/>
  <c r="E15" i="6"/>
  <c r="E16" i="6"/>
  <c r="E17" i="6"/>
  <c r="E18" i="6"/>
  <c r="E19" i="6"/>
  <c r="E20" i="6"/>
  <c r="E21" i="6"/>
  <c r="E22" i="6"/>
  <c r="E23" i="6"/>
  <c r="E24" i="6"/>
  <c r="E25" i="6"/>
  <c r="E26" i="6"/>
  <c r="E27" i="6"/>
  <c r="E28" i="6"/>
  <c r="E29" i="6"/>
  <c r="E30" i="6"/>
  <c r="E31" i="6"/>
  <c r="E32" i="6"/>
  <c r="E33" i="6"/>
  <c r="E34" i="6"/>
  <c r="E35" i="6"/>
  <c r="E36" i="6"/>
  <c r="E37" i="6"/>
  <c r="E38" i="6"/>
  <c r="E39" i="6"/>
  <c r="E40" i="6"/>
  <c r="E41" i="6"/>
  <c r="E42" i="6"/>
  <c r="E43" i="6"/>
  <c r="E44" i="6"/>
  <c r="E45" i="6"/>
  <c r="E46" i="6"/>
  <c r="E47" i="6"/>
  <c r="E48" i="6"/>
  <c r="E49" i="6"/>
  <c r="E50" i="6"/>
  <c r="E51" i="6"/>
  <c r="E52" i="6"/>
  <c r="E53" i="6"/>
  <c r="E54" i="6"/>
  <c r="E55" i="6"/>
  <c r="E56" i="6"/>
  <c r="E57" i="6"/>
  <c r="E58" i="6"/>
  <c r="E59" i="6"/>
  <c r="E60" i="6"/>
  <c r="E61" i="6"/>
  <c r="E62" i="6"/>
  <c r="E63" i="6"/>
  <c r="E64" i="6"/>
  <c r="E65" i="6"/>
  <c r="E66" i="6"/>
  <c r="E67" i="6"/>
  <c r="E68" i="6"/>
  <c r="E69" i="6"/>
  <c r="E70" i="6"/>
  <c r="E71" i="6"/>
  <c r="E72" i="6"/>
  <c r="E73" i="6"/>
  <c r="E74" i="6"/>
  <c r="E75" i="6"/>
  <c r="E76" i="6"/>
  <c r="E77" i="6"/>
  <c r="E78" i="6"/>
  <c r="E79" i="6"/>
  <c r="E80" i="6"/>
  <c r="E81" i="6"/>
  <c r="E82" i="6"/>
  <c r="E83" i="6"/>
  <c r="E84" i="6"/>
  <c r="E85" i="6"/>
  <c r="E86" i="6"/>
  <c r="E87" i="6"/>
  <c r="E88" i="6"/>
  <c r="E89" i="6"/>
  <c r="E90" i="6"/>
  <c r="E91" i="6"/>
  <c r="E92" i="6"/>
  <c r="E93" i="6"/>
  <c r="E94" i="6"/>
  <c r="E95" i="6"/>
  <c r="E96" i="6"/>
  <c r="E97" i="6"/>
  <c r="E98" i="6"/>
  <c r="E99" i="6"/>
  <c r="E100" i="6"/>
  <c r="E101" i="6"/>
  <c r="E102" i="6"/>
  <c r="E103" i="6"/>
  <c r="E104" i="6"/>
  <c r="E105" i="6"/>
  <c r="E106" i="6"/>
  <c r="E107" i="6"/>
  <c r="E108" i="6"/>
  <c r="E109" i="6"/>
  <c r="E110" i="6"/>
  <c r="E111" i="6"/>
  <c r="E112" i="6"/>
  <c r="E113" i="6"/>
  <c r="E114" i="6"/>
  <c r="E115" i="6"/>
  <c r="E116" i="6"/>
  <c r="E117" i="6"/>
  <c r="E118" i="6"/>
  <c r="E119" i="6"/>
  <c r="E120" i="6"/>
  <c r="E121" i="6"/>
  <c r="E122" i="6"/>
  <c r="E123" i="6"/>
  <c r="E124" i="6"/>
  <c r="E125" i="6"/>
  <c r="E126" i="6"/>
  <c r="E127" i="6"/>
  <c r="E128" i="6"/>
  <c r="E129" i="6"/>
  <c r="E130" i="6"/>
  <c r="E131" i="6"/>
  <c r="E132" i="6"/>
  <c r="E133" i="6"/>
  <c r="E134" i="6"/>
  <c r="E135" i="6"/>
  <c r="E136" i="6"/>
  <c r="E137" i="6"/>
  <c r="E138" i="6"/>
  <c r="E139" i="6"/>
  <c r="E140" i="6"/>
  <c r="E141" i="6"/>
  <c r="E142" i="6"/>
  <c r="E143" i="6"/>
  <c r="E144" i="6"/>
  <c r="E145" i="6"/>
  <c r="E146" i="6"/>
  <c r="E147" i="6"/>
  <c r="E148" i="6"/>
  <c r="E149" i="6"/>
  <c r="E150" i="6"/>
  <c r="E151" i="6"/>
  <c r="E152" i="6"/>
  <c r="E153" i="6"/>
  <c r="E154" i="6"/>
  <c r="E155" i="6"/>
  <c r="E156" i="6"/>
  <c r="E157" i="6"/>
  <c r="E158" i="6"/>
  <c r="E159" i="6"/>
  <c r="E160" i="6"/>
  <c r="E161" i="6"/>
  <c r="E162" i="6"/>
  <c r="AO2" i="6" a="1"/>
  <c r="AO2" i="6" s="1"/>
  <c r="AO3" i="6" a="1"/>
  <c r="AO3" i="6" s="1"/>
  <c r="AO4" i="6" a="1"/>
  <c r="AO4" i="6" s="1"/>
  <c r="AO5" i="6" a="1"/>
  <c r="AO5" i="6" s="1"/>
  <c r="AO6" i="6" a="1"/>
  <c r="AO6" i="6" s="1"/>
  <c r="AO7" i="6" a="1"/>
  <c r="AO7" i="6" s="1"/>
  <c r="AO8" i="6" a="1"/>
  <c r="AO8" i="6" s="1"/>
  <c r="AO9" i="6" a="1"/>
  <c r="AO9" i="6" s="1"/>
  <c r="AO10" i="6" a="1"/>
  <c r="AO10" i="6" s="1"/>
  <c r="AO11" i="6" a="1"/>
  <c r="AO11" i="6" s="1"/>
  <c r="AO12" i="6" a="1"/>
  <c r="AO12" i="6" s="1"/>
  <c r="AO13" i="6" a="1"/>
  <c r="AO13" i="6" s="1"/>
  <c r="AO14" i="6" a="1"/>
  <c r="AO14" i="6" s="1"/>
  <c r="AO15" i="6" a="1"/>
  <c r="AO15" i="6" s="1"/>
  <c r="AO16" i="6" a="1"/>
  <c r="AO16" i="6" s="1"/>
  <c r="AO17" i="6" a="1"/>
  <c r="AO17" i="6" s="1"/>
  <c r="AO18" i="6" a="1"/>
  <c r="AO18" i="6" s="1"/>
  <c r="AO19" i="6" a="1"/>
  <c r="AO19" i="6" s="1"/>
  <c r="AO20" i="6" a="1"/>
  <c r="AO20" i="6" s="1"/>
  <c r="AO21" i="6" a="1"/>
  <c r="AO21" i="6" s="1"/>
  <c r="AO22" i="6" a="1"/>
  <c r="AO22" i="6" s="1"/>
  <c r="AO23" i="6" a="1"/>
  <c r="AO23" i="6" s="1"/>
  <c r="AO24" i="6" a="1"/>
  <c r="AO24" i="6" s="1"/>
  <c r="AO25" i="6" a="1"/>
  <c r="AO25" i="6" s="1"/>
  <c r="AO26" i="6" a="1"/>
  <c r="AO26" i="6" s="1"/>
  <c r="AO27" i="6" a="1"/>
  <c r="AO27" i="6" s="1"/>
  <c r="AO28" i="6" a="1"/>
  <c r="AO28" i="6" s="1"/>
  <c r="AO29" i="6" a="1"/>
  <c r="AO29" i="6" s="1"/>
  <c r="AO30" i="6" a="1"/>
  <c r="AO30" i="6" s="1"/>
  <c r="AO31" i="6" a="1"/>
  <c r="AO31" i="6" s="1"/>
  <c r="AO32" i="6" a="1"/>
  <c r="AO32" i="6" s="1"/>
  <c r="AO33" i="6" a="1"/>
  <c r="AO33" i="6" s="1"/>
  <c r="AO34" i="6" a="1"/>
  <c r="AO34" i="6" s="1"/>
  <c r="AO35" i="6" a="1"/>
  <c r="AO35" i="6" s="1"/>
  <c r="AO36" i="6" a="1"/>
  <c r="AO36" i="6" s="1"/>
  <c r="AO37" i="6" a="1"/>
  <c r="AO37" i="6" s="1"/>
  <c r="AO38" i="6" a="1"/>
  <c r="AO38" i="6" s="1"/>
  <c r="AO39" i="6" a="1"/>
  <c r="AO39" i="6" s="1"/>
  <c r="AO40" i="6" a="1"/>
  <c r="AO40" i="6" s="1"/>
  <c r="AO41" i="6" a="1"/>
  <c r="AO41" i="6" s="1"/>
  <c r="AO42" i="6" a="1"/>
  <c r="AO42" i="6" s="1"/>
  <c r="AO43" i="6" a="1"/>
  <c r="AO43" i="6" s="1"/>
  <c r="AO44" i="6" a="1"/>
  <c r="AO44" i="6" s="1"/>
  <c r="AO45" i="6" a="1"/>
  <c r="AO45" i="6" s="1"/>
  <c r="AO46" i="6" a="1"/>
  <c r="AO46" i="6" s="1"/>
  <c r="AO47" i="6" a="1"/>
  <c r="AO47" i="6" s="1"/>
  <c r="AO48" i="6" a="1"/>
  <c r="AO48" i="6" s="1"/>
  <c r="AO49" i="6" a="1"/>
  <c r="AO49" i="6" s="1"/>
  <c r="AO50" i="6" a="1"/>
  <c r="AO50" i="6" s="1"/>
  <c r="AO51" i="6" a="1"/>
  <c r="AO51" i="6" s="1"/>
  <c r="AO52" i="6" a="1"/>
  <c r="AO52" i="6" s="1"/>
  <c r="AO53" i="6" a="1"/>
  <c r="AO53" i="6" s="1"/>
  <c r="AO54" i="6" a="1"/>
  <c r="AO54" i="6" s="1"/>
  <c r="AO55" i="6" a="1"/>
  <c r="AO55" i="6" s="1"/>
  <c r="AO56" i="6" a="1"/>
  <c r="AO56" i="6" s="1"/>
  <c r="AO57" i="6" a="1"/>
  <c r="AO57" i="6" s="1"/>
  <c r="AO58" i="6" a="1"/>
  <c r="AO58" i="6" s="1"/>
  <c r="AO59" i="6" a="1"/>
  <c r="AO59" i="6" s="1"/>
  <c r="AO60" i="6" a="1"/>
  <c r="AO60" i="6" s="1"/>
  <c r="AO61" i="6" a="1"/>
  <c r="AO61" i="6" s="1"/>
  <c r="AO62" i="6" a="1"/>
  <c r="AO62" i="6" s="1"/>
  <c r="AO63" i="6" a="1"/>
  <c r="AO63" i="6" s="1"/>
  <c r="AO64" i="6" a="1"/>
  <c r="AO64" i="6" s="1"/>
  <c r="AO65" i="6" a="1"/>
  <c r="AO65" i="6" s="1"/>
  <c r="AO66" i="6" a="1"/>
  <c r="AO66" i="6" s="1"/>
  <c r="AO67" i="6" a="1"/>
  <c r="AO67" i="6" s="1"/>
  <c r="AO68" i="6" a="1"/>
  <c r="AO68" i="6" s="1"/>
  <c r="AO69" i="6" a="1"/>
  <c r="AO69" i="6" s="1"/>
  <c r="AO70" i="6" a="1"/>
  <c r="AO70" i="6" s="1"/>
  <c r="AO71" i="6" a="1"/>
  <c r="AO71" i="6" s="1"/>
  <c r="AO72" i="6" a="1"/>
  <c r="AO72" i="6" s="1"/>
  <c r="AO73" i="6" a="1"/>
  <c r="AO73" i="6" s="1"/>
  <c r="AO74" i="6" a="1"/>
  <c r="AO74" i="6" s="1"/>
  <c r="AO75" i="6" a="1"/>
  <c r="AO75" i="6" s="1"/>
  <c r="AO76" i="6" a="1"/>
  <c r="AO76" i="6" s="1"/>
  <c r="AO77" i="6" a="1"/>
  <c r="AO77" i="6" s="1"/>
  <c r="AO78" i="6" a="1"/>
  <c r="AO78" i="6" s="1"/>
  <c r="AO79" i="6" a="1"/>
  <c r="AO79" i="6" s="1"/>
  <c r="AO80" i="6" a="1"/>
  <c r="AO80" i="6" s="1"/>
  <c r="AO81" i="6" a="1"/>
  <c r="AO81" i="6" s="1"/>
  <c r="AO82" i="6" a="1"/>
  <c r="AO82" i="6" s="1"/>
  <c r="AO83" i="6" a="1"/>
  <c r="AO83" i="6" s="1"/>
  <c r="AO84" i="6" a="1"/>
  <c r="AO84" i="6" s="1"/>
  <c r="AO85" i="6" a="1"/>
  <c r="AO85" i="6" s="1"/>
  <c r="AO86" i="6" a="1"/>
  <c r="AO86" i="6" s="1"/>
  <c r="AO87" i="6" a="1"/>
  <c r="AO87" i="6" s="1"/>
  <c r="AO88" i="6" a="1"/>
  <c r="AO88" i="6" s="1"/>
  <c r="AO89" i="6" a="1"/>
  <c r="AO89" i="6" s="1"/>
  <c r="AO90" i="6" a="1"/>
  <c r="AO90" i="6" s="1"/>
  <c r="AO91" i="6" a="1"/>
  <c r="AO91" i="6" s="1"/>
  <c r="AO92" i="6" a="1"/>
  <c r="AO92" i="6" s="1"/>
  <c r="AO93" i="6" a="1"/>
  <c r="AO93" i="6" s="1"/>
  <c r="AO94" i="6" a="1"/>
  <c r="AO94" i="6" s="1"/>
  <c r="AO95" i="6" a="1"/>
  <c r="AO95" i="6" s="1"/>
  <c r="AO96" i="6" a="1"/>
  <c r="AO96" i="6" s="1"/>
  <c r="AO97" i="6" a="1"/>
  <c r="AO97" i="6" s="1"/>
  <c r="AO98" i="6" a="1"/>
  <c r="AO98" i="6" s="1"/>
  <c r="AO99" i="6" a="1"/>
  <c r="AO99" i="6" s="1"/>
  <c r="AO100" i="6" a="1"/>
  <c r="AO100" i="6" s="1"/>
  <c r="AO101" i="6" a="1"/>
  <c r="AO101" i="6" s="1"/>
  <c r="AO102" i="6" a="1"/>
  <c r="AO102" i="6" s="1"/>
  <c r="AO103" i="6" a="1"/>
  <c r="AO103" i="6" s="1"/>
  <c r="AO104" i="6" a="1"/>
  <c r="AO104" i="6" s="1"/>
  <c r="AO105" i="6" a="1"/>
  <c r="AO105" i="6" s="1"/>
  <c r="AO106" i="6" a="1"/>
  <c r="AO106" i="6" s="1"/>
  <c r="AO107" i="6" a="1"/>
  <c r="AO107" i="6" s="1"/>
  <c r="AO108" i="6" a="1"/>
  <c r="AO108" i="6" s="1"/>
  <c r="AO109" i="6" a="1"/>
  <c r="AO109" i="6" s="1"/>
  <c r="AO110" i="6" a="1"/>
  <c r="AO110" i="6" s="1"/>
  <c r="AO111" i="6" a="1"/>
  <c r="AO111" i="6" s="1"/>
  <c r="AO112" i="6" a="1"/>
  <c r="AO112" i="6" s="1"/>
  <c r="AO113" i="6" a="1"/>
  <c r="AO113" i="6" s="1"/>
  <c r="AO114" i="6" a="1"/>
  <c r="AO114" i="6" s="1"/>
  <c r="AO115" i="6" a="1"/>
  <c r="AO115" i="6" s="1"/>
  <c r="AO116" i="6" a="1"/>
  <c r="AO116" i="6" s="1"/>
  <c r="AO117" i="6" a="1"/>
  <c r="AO117" i="6" s="1"/>
  <c r="AO118" i="6" a="1"/>
  <c r="AO118" i="6" s="1"/>
  <c r="AO119" i="6" a="1"/>
  <c r="AO119" i="6" s="1"/>
  <c r="AO120" i="6" a="1"/>
  <c r="AO120" i="6" s="1"/>
  <c r="AO121" i="6" a="1"/>
  <c r="AO121" i="6" s="1"/>
  <c r="AO122" i="6" a="1"/>
  <c r="AO122" i="6" s="1"/>
  <c r="AO123" i="6" a="1"/>
  <c r="AO123" i="6" s="1"/>
  <c r="AO124" i="6" a="1"/>
  <c r="AO124" i="6" s="1"/>
  <c r="AO125" i="6" a="1"/>
  <c r="AO125" i="6" s="1"/>
  <c r="AO126" i="6" a="1"/>
  <c r="AO126" i="6" s="1"/>
  <c r="AO127" i="6" a="1"/>
  <c r="AO127" i="6" s="1"/>
  <c r="AO128" i="6" a="1"/>
  <c r="AO128" i="6" s="1"/>
  <c r="AO129" i="6" a="1"/>
  <c r="AO129" i="6" s="1"/>
  <c r="AO130" i="6" a="1"/>
  <c r="AO130" i="6" s="1"/>
  <c r="AO131" i="6" a="1"/>
  <c r="AO131" i="6" s="1"/>
  <c r="AO132" i="6" a="1"/>
  <c r="AO132" i="6" s="1"/>
  <c r="AO133" i="6" a="1"/>
  <c r="AO133" i="6" s="1"/>
  <c r="AO134" i="6" a="1"/>
  <c r="AO134" i="6" s="1"/>
  <c r="AO135" i="6" a="1"/>
  <c r="AO135" i="6" s="1"/>
  <c r="AO136" i="6" a="1"/>
  <c r="AO136" i="6" s="1"/>
  <c r="AO137" i="6" a="1"/>
  <c r="AO137" i="6" s="1"/>
  <c r="AO138" i="6" a="1"/>
  <c r="AO138" i="6" s="1"/>
  <c r="AO139" i="6" a="1"/>
  <c r="AO139" i="6" s="1"/>
  <c r="AO140" i="6" a="1"/>
  <c r="AO140" i="6" s="1"/>
  <c r="AO141" i="6" a="1"/>
  <c r="AO141" i="6" s="1"/>
  <c r="AO142" i="6" a="1"/>
  <c r="AO142" i="6" s="1"/>
  <c r="AO143" i="6" a="1"/>
  <c r="AO143" i="6" s="1"/>
  <c r="AO144" i="6" a="1"/>
  <c r="AO144" i="6" s="1"/>
  <c r="AO145" i="6" a="1"/>
  <c r="AO145" i="6" s="1"/>
  <c r="AO146" i="6" a="1"/>
  <c r="AO146" i="6" s="1"/>
  <c r="AO147" i="6" a="1"/>
  <c r="AO147" i="6" s="1"/>
  <c r="AO148" i="6" a="1"/>
  <c r="AO148" i="6" s="1"/>
  <c r="AO149" i="6" a="1"/>
  <c r="AO149" i="6" s="1"/>
  <c r="AO150" i="6" a="1"/>
  <c r="AO150" i="6" s="1"/>
  <c r="AO151" i="6" a="1"/>
  <c r="AO151" i="6" s="1"/>
  <c r="AO152" i="6" a="1"/>
  <c r="AO152" i="6" s="1"/>
  <c r="AO153" i="6" a="1"/>
  <c r="AO153" i="6" s="1"/>
  <c r="AO154" i="6" a="1"/>
  <c r="AO154" i="6" s="1"/>
  <c r="AO155" i="6" a="1"/>
  <c r="AO155" i="6" s="1"/>
  <c r="AO156" i="6" a="1"/>
  <c r="AO156" i="6" s="1"/>
  <c r="AO157" i="6" a="1"/>
  <c r="AO157" i="6" s="1"/>
  <c r="AO158" i="6" a="1"/>
  <c r="AO158" i="6" s="1"/>
  <c r="AO159" i="6" a="1"/>
  <c r="AO159" i="6" s="1"/>
  <c r="AO160" i="6" a="1"/>
  <c r="AO160" i="6" s="1"/>
  <c r="AO161" i="6" a="1"/>
  <c r="AO161" i="6" s="1"/>
  <c r="AO162" i="6" a="1"/>
  <c r="AO162" i="6" s="1"/>
  <c r="AM2" i="6"/>
  <c r="AM3" i="6"/>
  <c r="AM4" i="6"/>
  <c r="AM5" i="6"/>
  <c r="AM6" i="6"/>
  <c r="AM7" i="6"/>
  <c r="AM8" i="6"/>
  <c r="AM9" i="6"/>
  <c r="AM10" i="6"/>
  <c r="AM11" i="6"/>
  <c r="AM12" i="6"/>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51" i="6"/>
  <c r="AM52" i="6"/>
  <c r="AM53" i="6"/>
  <c r="AM54" i="6"/>
  <c r="AM55" i="6"/>
  <c r="AM56" i="6"/>
  <c r="AM57" i="6"/>
  <c r="AM58" i="6"/>
  <c r="AM59" i="6"/>
  <c r="AM60" i="6"/>
  <c r="AM61" i="6"/>
  <c r="AM62" i="6"/>
  <c r="AM63" i="6"/>
  <c r="AM64" i="6"/>
  <c r="AM65" i="6"/>
  <c r="AM66" i="6"/>
  <c r="AM67" i="6"/>
  <c r="AM68" i="6"/>
  <c r="AM69" i="6"/>
  <c r="AM70" i="6"/>
  <c r="AM71" i="6"/>
  <c r="AM72" i="6"/>
  <c r="AM73" i="6"/>
  <c r="AM74" i="6"/>
  <c r="AM75" i="6"/>
  <c r="AM76" i="6"/>
  <c r="AM77" i="6"/>
  <c r="AM78" i="6"/>
  <c r="AM79" i="6"/>
  <c r="AM80" i="6"/>
  <c r="AM81" i="6"/>
  <c r="AM82" i="6"/>
  <c r="AM83" i="6"/>
  <c r="AM84" i="6"/>
  <c r="AM85" i="6"/>
  <c r="AM86" i="6"/>
  <c r="AM87" i="6"/>
  <c r="AM88" i="6"/>
  <c r="AM89" i="6"/>
  <c r="AM90" i="6"/>
  <c r="AM91" i="6"/>
  <c r="AM92" i="6"/>
  <c r="AM93" i="6"/>
  <c r="AM94" i="6"/>
  <c r="AM95" i="6"/>
  <c r="AM96" i="6"/>
  <c r="AM97" i="6"/>
  <c r="AM98" i="6"/>
  <c r="AM99" i="6"/>
  <c r="AM100" i="6"/>
  <c r="AM101" i="6"/>
  <c r="AM102" i="6"/>
  <c r="AM103" i="6"/>
  <c r="AM104" i="6"/>
  <c r="AM105" i="6"/>
  <c r="AM106" i="6"/>
  <c r="AM107" i="6"/>
  <c r="AM108" i="6"/>
  <c r="AM109" i="6"/>
  <c r="AM110" i="6"/>
  <c r="AM111" i="6"/>
  <c r="AM112" i="6"/>
  <c r="AM113" i="6"/>
  <c r="AM114" i="6"/>
  <c r="AM115" i="6"/>
  <c r="AM116" i="6"/>
  <c r="AM117" i="6"/>
  <c r="AM118" i="6"/>
  <c r="AM119" i="6"/>
  <c r="AM120" i="6"/>
  <c r="AM121" i="6"/>
  <c r="AM122" i="6"/>
  <c r="AM123" i="6"/>
  <c r="AM124" i="6"/>
  <c r="AM125" i="6"/>
  <c r="AM126" i="6"/>
  <c r="AM127" i="6"/>
  <c r="AM128" i="6"/>
  <c r="AM129" i="6"/>
  <c r="AM130" i="6"/>
  <c r="AM131" i="6"/>
  <c r="AM132" i="6"/>
  <c r="AM133" i="6"/>
  <c r="AM134" i="6"/>
  <c r="AM135" i="6"/>
  <c r="AM136" i="6"/>
  <c r="AM137" i="6"/>
  <c r="AM138" i="6"/>
  <c r="AM139" i="6"/>
  <c r="AM140" i="6"/>
  <c r="AM141" i="6"/>
  <c r="AM142" i="6"/>
  <c r="AM143" i="6"/>
  <c r="AM144" i="6"/>
  <c r="AM145" i="6"/>
  <c r="AM146" i="6"/>
  <c r="AM147" i="6"/>
  <c r="AM148" i="6"/>
  <c r="AM149" i="6"/>
  <c r="AM150" i="6"/>
  <c r="AM151" i="6"/>
  <c r="AM152" i="6"/>
  <c r="AM153" i="6"/>
  <c r="AM154" i="6"/>
  <c r="AM155" i="6"/>
  <c r="AM156" i="6"/>
  <c r="AM157" i="6"/>
  <c r="AM158" i="6"/>
  <c r="AM159" i="6"/>
  <c r="AM160" i="6"/>
  <c r="AM161" i="6"/>
  <c r="AM162" i="6"/>
  <c r="AK2" i="6"/>
  <c r="AL2" i="6" s="1"/>
  <c r="AK3" i="6"/>
  <c r="AL3" i="6" s="1"/>
  <c r="AK4" i="6"/>
  <c r="AL4" i="6" s="1"/>
  <c r="AK5" i="6"/>
  <c r="AL5" i="6" s="1"/>
  <c r="AK6" i="6"/>
  <c r="AL6" i="6" s="1"/>
  <c r="AK7" i="6"/>
  <c r="AL7" i="6" s="1"/>
  <c r="AK8" i="6"/>
  <c r="AL8" i="6" s="1"/>
  <c r="AK9" i="6"/>
  <c r="AL9" i="6" s="1"/>
  <c r="AK10" i="6"/>
  <c r="AL10" i="6" s="1"/>
  <c r="AK11" i="6"/>
  <c r="AL11" i="6" s="1"/>
  <c r="AK12" i="6"/>
  <c r="AL12" i="6" s="1"/>
  <c r="AK13" i="6"/>
  <c r="AL13" i="6" s="1"/>
  <c r="AK14" i="6"/>
  <c r="AL14" i="6" s="1"/>
  <c r="AK15" i="6"/>
  <c r="AL15" i="6" s="1"/>
  <c r="AK16" i="6"/>
  <c r="AL16" i="6" s="1"/>
  <c r="AK17" i="6"/>
  <c r="AL17" i="6" s="1"/>
  <c r="AK18" i="6"/>
  <c r="AL18" i="6" s="1"/>
  <c r="AK19" i="6"/>
  <c r="AL19" i="6" s="1"/>
  <c r="AK20" i="6"/>
  <c r="AL20" i="6" s="1"/>
  <c r="AK21" i="6"/>
  <c r="AL21" i="6" s="1"/>
  <c r="AK22" i="6"/>
  <c r="AL22" i="6" s="1"/>
  <c r="AK23" i="6"/>
  <c r="AL23" i="6" s="1"/>
  <c r="AK24" i="6"/>
  <c r="AL24" i="6" s="1"/>
  <c r="AK25" i="6"/>
  <c r="AL25" i="6" s="1"/>
  <c r="AK26" i="6"/>
  <c r="AL26" i="6" s="1"/>
  <c r="AK27" i="6"/>
  <c r="AL27" i="6" s="1"/>
  <c r="AK28" i="6"/>
  <c r="AL28" i="6" s="1"/>
  <c r="AK29" i="6"/>
  <c r="AL29" i="6" s="1"/>
  <c r="AK30" i="6"/>
  <c r="AL30" i="6" s="1"/>
  <c r="AK31" i="6"/>
  <c r="AL31" i="6" s="1"/>
  <c r="AK32" i="6"/>
  <c r="AL32" i="6" s="1"/>
  <c r="AK33" i="6"/>
  <c r="AL33" i="6" s="1"/>
  <c r="AK34" i="6"/>
  <c r="AL34" i="6" s="1"/>
  <c r="AK35" i="6"/>
  <c r="AL35" i="6" s="1"/>
  <c r="AK36" i="6"/>
  <c r="AL36" i="6" s="1"/>
  <c r="AK37" i="6"/>
  <c r="AL37" i="6" s="1"/>
  <c r="AK38" i="6"/>
  <c r="AL38" i="6" s="1"/>
  <c r="AK39" i="6"/>
  <c r="AL39" i="6" s="1"/>
  <c r="AK40" i="6"/>
  <c r="AL40" i="6" s="1"/>
  <c r="AK41" i="6"/>
  <c r="AL41" i="6" s="1"/>
  <c r="AK42" i="6"/>
  <c r="AL42" i="6" s="1"/>
  <c r="AK43" i="6"/>
  <c r="AL43" i="6" s="1"/>
  <c r="AK44" i="6"/>
  <c r="AL44" i="6" s="1"/>
  <c r="AK45" i="6"/>
  <c r="AL45" i="6" s="1"/>
  <c r="AK46" i="6"/>
  <c r="AL46" i="6" s="1"/>
  <c r="AK47" i="6"/>
  <c r="AL47" i="6" s="1"/>
  <c r="AK48" i="6"/>
  <c r="AL48" i="6" s="1"/>
  <c r="AK49" i="6"/>
  <c r="AL49" i="6" s="1"/>
  <c r="AK50" i="6"/>
  <c r="AL50" i="6" s="1"/>
  <c r="AK51" i="6"/>
  <c r="AL51" i="6" s="1"/>
  <c r="AK52" i="6"/>
  <c r="AL52" i="6" s="1"/>
  <c r="AK53" i="6"/>
  <c r="AL53" i="6" s="1"/>
  <c r="AK54" i="6"/>
  <c r="AL54" i="6" s="1"/>
  <c r="AK55" i="6"/>
  <c r="AL55" i="6" s="1"/>
  <c r="AK56" i="6"/>
  <c r="AL56" i="6" s="1"/>
  <c r="AK57" i="6"/>
  <c r="AL57" i="6" s="1"/>
  <c r="AK58" i="6"/>
  <c r="AL58" i="6" s="1"/>
  <c r="AK59" i="6"/>
  <c r="AL59" i="6" s="1"/>
  <c r="AK60" i="6"/>
  <c r="AL60" i="6" s="1"/>
  <c r="AK61" i="6"/>
  <c r="AL61" i="6" s="1"/>
  <c r="AK62" i="6"/>
  <c r="AL62" i="6" s="1"/>
  <c r="AK63" i="6"/>
  <c r="AL63" i="6" s="1"/>
  <c r="AK64" i="6"/>
  <c r="AL64" i="6" s="1"/>
  <c r="AK65" i="6"/>
  <c r="AL65" i="6" s="1"/>
  <c r="AK66" i="6"/>
  <c r="AL66" i="6" s="1"/>
  <c r="AK67" i="6"/>
  <c r="AL67" i="6" s="1"/>
  <c r="AK68" i="6"/>
  <c r="AL68" i="6" s="1"/>
  <c r="AK69" i="6"/>
  <c r="AL69" i="6" s="1"/>
  <c r="AK70" i="6"/>
  <c r="AL70" i="6" s="1"/>
  <c r="AK71" i="6"/>
  <c r="AL71" i="6" s="1"/>
  <c r="AK72" i="6"/>
  <c r="AL72" i="6" s="1"/>
  <c r="AK73" i="6"/>
  <c r="AL73" i="6" s="1"/>
  <c r="AK74" i="6"/>
  <c r="AL74" i="6" s="1"/>
  <c r="AK75" i="6"/>
  <c r="AL75" i="6" s="1"/>
  <c r="AK76" i="6"/>
  <c r="AL76" i="6" s="1"/>
  <c r="AK77" i="6"/>
  <c r="AL77" i="6" s="1"/>
  <c r="AK78" i="6"/>
  <c r="AL78" i="6" s="1"/>
  <c r="AK79" i="6"/>
  <c r="AL79" i="6" s="1"/>
  <c r="AK80" i="6"/>
  <c r="AL80" i="6" s="1"/>
  <c r="AK81" i="6"/>
  <c r="AL81" i="6" s="1"/>
  <c r="AK82" i="6"/>
  <c r="AL82" i="6" s="1"/>
  <c r="AK83" i="6"/>
  <c r="AL83" i="6" s="1"/>
  <c r="AK84" i="6"/>
  <c r="AL84" i="6" s="1"/>
  <c r="AK85" i="6"/>
  <c r="AL85" i="6" s="1"/>
  <c r="AK86" i="6"/>
  <c r="AL86" i="6" s="1"/>
  <c r="AK87" i="6"/>
  <c r="AL87" i="6" s="1"/>
  <c r="AK88" i="6"/>
  <c r="AL88" i="6" s="1"/>
  <c r="AK89" i="6"/>
  <c r="AL89" i="6" s="1"/>
  <c r="AK90" i="6"/>
  <c r="AL90" i="6" s="1"/>
  <c r="AK91" i="6"/>
  <c r="AL91" i="6" s="1"/>
  <c r="AK92" i="6"/>
  <c r="AL92" i="6" s="1"/>
  <c r="AK93" i="6"/>
  <c r="AL93" i="6" s="1"/>
  <c r="AK94" i="6"/>
  <c r="AL94" i="6" s="1"/>
  <c r="AK95" i="6"/>
  <c r="AL95" i="6" s="1"/>
  <c r="AK96" i="6"/>
  <c r="AL96" i="6" s="1"/>
  <c r="AK97" i="6"/>
  <c r="AL97" i="6" s="1"/>
  <c r="AK98" i="6"/>
  <c r="AL98" i="6" s="1"/>
  <c r="AK99" i="6"/>
  <c r="AL99" i="6" s="1"/>
  <c r="AK100" i="6"/>
  <c r="AL100" i="6" s="1"/>
  <c r="AK101" i="6"/>
  <c r="AL101" i="6" s="1"/>
  <c r="AK102" i="6"/>
  <c r="AL102" i="6" s="1"/>
  <c r="AK103" i="6"/>
  <c r="AL103" i="6" s="1"/>
  <c r="AK104" i="6"/>
  <c r="AL104" i="6" s="1"/>
  <c r="AK105" i="6"/>
  <c r="AL105" i="6" s="1"/>
  <c r="AK106" i="6"/>
  <c r="AL106" i="6" s="1"/>
  <c r="AK107" i="6"/>
  <c r="AL107" i="6" s="1"/>
  <c r="AK108" i="6"/>
  <c r="AL108" i="6" s="1"/>
  <c r="AK109" i="6"/>
  <c r="AL109" i="6" s="1"/>
  <c r="AK110" i="6"/>
  <c r="AL110" i="6" s="1"/>
  <c r="AK111" i="6"/>
  <c r="AL111" i="6" s="1"/>
  <c r="AK112" i="6"/>
  <c r="AL112" i="6" s="1"/>
  <c r="AK113" i="6"/>
  <c r="AL113" i="6" s="1"/>
  <c r="AK114" i="6"/>
  <c r="AL114" i="6" s="1"/>
  <c r="AK115" i="6"/>
  <c r="AL115" i="6" s="1"/>
  <c r="AK116" i="6"/>
  <c r="AL116" i="6" s="1"/>
  <c r="AK117" i="6"/>
  <c r="AL117" i="6" s="1"/>
  <c r="AK118" i="6"/>
  <c r="AL118" i="6" s="1"/>
  <c r="AK119" i="6"/>
  <c r="AL119" i="6" s="1"/>
  <c r="AK120" i="6"/>
  <c r="AL120" i="6" s="1"/>
  <c r="AK121" i="6"/>
  <c r="AL121" i="6" s="1"/>
  <c r="AK122" i="6"/>
  <c r="AL122" i="6" s="1"/>
  <c r="AK123" i="6"/>
  <c r="AL123" i="6" s="1"/>
  <c r="AK124" i="6"/>
  <c r="AL124" i="6" s="1"/>
  <c r="AK125" i="6"/>
  <c r="AL125" i="6" s="1"/>
  <c r="AK126" i="6"/>
  <c r="AL126" i="6" s="1"/>
  <c r="AK127" i="6"/>
  <c r="AL127" i="6" s="1"/>
  <c r="AK128" i="6"/>
  <c r="AL128" i="6" s="1"/>
  <c r="AK129" i="6"/>
  <c r="AL129" i="6" s="1"/>
  <c r="AK130" i="6"/>
  <c r="AL130" i="6" s="1"/>
  <c r="AK131" i="6"/>
  <c r="AL131" i="6" s="1"/>
  <c r="AK132" i="6"/>
  <c r="AL132" i="6" s="1"/>
  <c r="AK133" i="6"/>
  <c r="AL133" i="6" s="1"/>
  <c r="AK134" i="6"/>
  <c r="AL134" i="6" s="1"/>
  <c r="AK135" i="6"/>
  <c r="AL135" i="6" s="1"/>
  <c r="AK136" i="6"/>
  <c r="AL136" i="6" s="1"/>
  <c r="AK137" i="6"/>
  <c r="AL137" i="6" s="1"/>
  <c r="AK138" i="6"/>
  <c r="AL138" i="6" s="1"/>
  <c r="AK139" i="6"/>
  <c r="AL139" i="6" s="1"/>
  <c r="AK140" i="6"/>
  <c r="AL140" i="6" s="1"/>
  <c r="AK141" i="6"/>
  <c r="AL141" i="6" s="1"/>
  <c r="AK142" i="6"/>
  <c r="AL142" i="6" s="1"/>
  <c r="AK143" i="6"/>
  <c r="AL143" i="6" s="1"/>
  <c r="AK144" i="6"/>
  <c r="AL144" i="6" s="1"/>
  <c r="AK145" i="6"/>
  <c r="AL145" i="6" s="1"/>
  <c r="AK146" i="6"/>
  <c r="AL146" i="6" s="1"/>
  <c r="AK147" i="6"/>
  <c r="AL147" i="6" s="1"/>
  <c r="AK148" i="6"/>
  <c r="AL148" i="6" s="1"/>
  <c r="AK149" i="6"/>
  <c r="AL149" i="6" s="1"/>
  <c r="AK150" i="6"/>
  <c r="AL150" i="6" s="1"/>
  <c r="AK151" i="6"/>
  <c r="AL151" i="6" s="1"/>
  <c r="AK152" i="6"/>
  <c r="AL152" i="6" s="1"/>
  <c r="AK153" i="6"/>
  <c r="AL153" i="6" s="1"/>
  <c r="AK154" i="6"/>
  <c r="AL154" i="6" s="1"/>
  <c r="AK155" i="6"/>
  <c r="AL155" i="6" s="1"/>
  <c r="AK156" i="6"/>
  <c r="AL156" i="6" s="1"/>
  <c r="AK157" i="6"/>
  <c r="AL157" i="6" s="1"/>
  <c r="AK158" i="6"/>
  <c r="AL158" i="6" s="1"/>
  <c r="AK159" i="6"/>
  <c r="AL159" i="6" s="1"/>
  <c r="AK160" i="6"/>
  <c r="AL160" i="6" s="1"/>
  <c r="AK161" i="6"/>
  <c r="AL161" i="6" s="1"/>
  <c r="AK162" i="6"/>
  <c r="AL162" i="6" s="1"/>
  <c r="AJ2" i="6"/>
  <c r="AG2" i="6"/>
  <c r="AG3" i="6"/>
  <c r="AG4" i="6"/>
  <c r="AG5" i="6"/>
  <c r="AG6" i="6"/>
  <c r="AG7" i="6"/>
  <c r="AG8" i="6"/>
  <c r="AG9" i="6"/>
  <c r="AG10" i="6"/>
  <c r="AG11" i="6"/>
  <c r="AG12" i="6"/>
  <c r="AG13" i="6"/>
  <c r="AG14" i="6"/>
  <c r="AG15" i="6"/>
  <c r="AG16" i="6"/>
  <c r="AG17" i="6"/>
  <c r="AG18" i="6"/>
  <c r="AG19" i="6"/>
  <c r="AG20" i="6"/>
  <c r="AG21" i="6"/>
  <c r="AG22" i="6"/>
  <c r="AG23" i="6"/>
  <c r="AG24" i="6"/>
  <c r="AG25" i="6"/>
  <c r="AG26" i="6"/>
  <c r="AG27" i="6"/>
  <c r="AG28" i="6"/>
  <c r="AG29" i="6"/>
  <c r="AG30" i="6"/>
  <c r="AG31" i="6"/>
  <c r="AG32" i="6"/>
  <c r="AG33" i="6"/>
  <c r="AG34" i="6"/>
  <c r="AG35" i="6"/>
  <c r="AG36" i="6"/>
  <c r="AG37" i="6"/>
  <c r="AG38" i="6"/>
  <c r="AG39" i="6"/>
  <c r="AG40" i="6"/>
  <c r="AG41" i="6"/>
  <c r="AG42" i="6"/>
  <c r="AG43" i="6"/>
  <c r="AG44" i="6"/>
  <c r="AG45" i="6"/>
  <c r="AG46" i="6"/>
  <c r="AG47" i="6"/>
  <c r="AG48" i="6"/>
  <c r="AG49" i="6"/>
  <c r="AG50" i="6"/>
  <c r="AG51" i="6"/>
  <c r="AG52" i="6"/>
  <c r="AG53" i="6"/>
  <c r="AG54" i="6"/>
  <c r="AG55" i="6"/>
  <c r="AG56" i="6"/>
  <c r="AG57" i="6"/>
  <c r="AG58" i="6"/>
  <c r="AG59" i="6"/>
  <c r="AG60" i="6"/>
  <c r="AG61" i="6"/>
  <c r="AG62" i="6"/>
  <c r="AG63" i="6"/>
  <c r="AG64" i="6"/>
  <c r="AG65" i="6"/>
  <c r="AG66" i="6"/>
  <c r="AG67" i="6"/>
  <c r="AG68" i="6"/>
  <c r="AG69" i="6"/>
  <c r="AG70" i="6"/>
  <c r="AG71" i="6"/>
  <c r="AG72" i="6"/>
  <c r="AG73" i="6"/>
  <c r="AG74" i="6"/>
  <c r="AG75" i="6"/>
  <c r="AG76" i="6"/>
  <c r="AG77" i="6"/>
  <c r="AG78" i="6"/>
  <c r="AG79" i="6"/>
  <c r="AG80" i="6"/>
  <c r="AG81" i="6"/>
  <c r="AG82" i="6"/>
  <c r="AG83" i="6"/>
  <c r="AG84" i="6"/>
  <c r="AG85" i="6"/>
  <c r="AG86" i="6"/>
  <c r="AG87" i="6"/>
  <c r="AG88" i="6"/>
  <c r="AG89" i="6"/>
  <c r="AG90" i="6"/>
  <c r="AG91" i="6"/>
  <c r="AG92" i="6"/>
  <c r="AG93" i="6"/>
  <c r="AG94" i="6"/>
  <c r="AG95" i="6"/>
  <c r="AG96" i="6"/>
  <c r="AG97" i="6"/>
  <c r="AG98" i="6"/>
  <c r="AG99" i="6"/>
  <c r="AG100" i="6"/>
  <c r="AG101" i="6"/>
  <c r="AG102" i="6"/>
  <c r="AG103" i="6"/>
  <c r="AG104" i="6"/>
  <c r="AG105" i="6"/>
  <c r="AG106" i="6"/>
  <c r="AG107" i="6"/>
  <c r="AG108" i="6"/>
  <c r="AG109" i="6"/>
  <c r="AG110" i="6"/>
  <c r="AG111" i="6"/>
  <c r="AG112" i="6"/>
  <c r="AG113" i="6"/>
  <c r="AG114" i="6"/>
  <c r="AG115" i="6"/>
  <c r="AG116" i="6"/>
  <c r="AG117" i="6"/>
  <c r="AG118" i="6"/>
  <c r="AG119" i="6"/>
  <c r="AG120" i="6"/>
  <c r="AG121" i="6"/>
  <c r="AG122" i="6"/>
  <c r="AG123" i="6"/>
  <c r="AG124" i="6"/>
  <c r="AG125" i="6"/>
  <c r="AG126" i="6"/>
  <c r="AG127" i="6"/>
  <c r="AG128" i="6"/>
  <c r="AG129" i="6"/>
  <c r="AG130" i="6"/>
  <c r="AG131" i="6"/>
  <c r="AG132" i="6"/>
  <c r="AG133" i="6"/>
  <c r="AG134" i="6"/>
  <c r="AG135" i="6"/>
  <c r="AG136" i="6"/>
  <c r="AG137" i="6"/>
  <c r="AG138" i="6"/>
  <c r="AG139" i="6"/>
  <c r="AG140" i="6"/>
  <c r="AG141" i="6"/>
  <c r="AG142" i="6"/>
  <c r="AG143" i="6"/>
  <c r="AG144" i="6"/>
  <c r="AG145" i="6"/>
  <c r="AG146" i="6"/>
  <c r="AG147" i="6"/>
  <c r="AG148" i="6"/>
  <c r="AG149" i="6"/>
  <c r="AG150" i="6"/>
  <c r="AG151" i="6"/>
  <c r="AG152" i="6"/>
  <c r="AG153" i="6"/>
  <c r="AG154" i="6"/>
  <c r="AG155" i="6"/>
  <c r="AG156" i="6"/>
  <c r="AG157" i="6"/>
  <c r="AG158" i="6"/>
  <c r="AG159" i="6"/>
  <c r="AG160" i="6"/>
  <c r="AG161" i="6"/>
  <c r="AG162" i="6"/>
  <c r="AH2" i="6"/>
  <c r="AI2" i="6" s="1"/>
  <c r="AH3" i="6"/>
  <c r="AI3" i="6" s="1"/>
  <c r="AH4" i="6"/>
  <c r="AI4" i="6" s="1"/>
  <c r="AH5" i="6"/>
  <c r="AI5" i="6" s="1"/>
  <c r="AH6" i="6"/>
  <c r="AI6" i="6" s="1"/>
  <c r="AH7" i="6"/>
  <c r="AI7" i="6" s="1"/>
  <c r="AH8" i="6"/>
  <c r="AI8" i="6" s="1"/>
  <c r="AH9" i="6"/>
  <c r="AI9" i="6" s="1"/>
  <c r="AH10" i="6"/>
  <c r="AI10" i="6" s="1"/>
  <c r="AH11" i="6"/>
  <c r="AI11" i="6" s="1"/>
  <c r="AH12" i="6"/>
  <c r="AI12" i="6" s="1"/>
  <c r="AH13" i="6"/>
  <c r="AI13" i="6" s="1"/>
  <c r="AH14" i="6"/>
  <c r="AI14" i="6" s="1"/>
  <c r="AH15" i="6"/>
  <c r="AI15" i="6" s="1"/>
  <c r="AH16" i="6"/>
  <c r="AI16" i="6" s="1"/>
  <c r="AH17" i="6"/>
  <c r="AI17" i="6" s="1"/>
  <c r="AH18" i="6"/>
  <c r="AI18" i="6" s="1"/>
  <c r="AH19" i="6"/>
  <c r="AI19" i="6" s="1"/>
  <c r="AH20" i="6"/>
  <c r="AI20" i="6" s="1"/>
  <c r="AH21" i="6"/>
  <c r="AI21" i="6" s="1"/>
  <c r="AH22" i="6"/>
  <c r="AI22" i="6" s="1"/>
  <c r="AH23" i="6"/>
  <c r="AI23" i="6" s="1"/>
  <c r="AH24" i="6"/>
  <c r="AI24" i="6" s="1"/>
  <c r="AH25" i="6"/>
  <c r="AI25" i="6" s="1"/>
  <c r="AH26" i="6"/>
  <c r="AI26" i="6" s="1"/>
  <c r="AH27" i="6"/>
  <c r="AI27" i="6" s="1"/>
  <c r="AH28" i="6"/>
  <c r="AI28" i="6" s="1"/>
  <c r="AH29" i="6"/>
  <c r="AI29" i="6" s="1"/>
  <c r="AH30" i="6"/>
  <c r="AI30" i="6" s="1"/>
  <c r="AH31" i="6"/>
  <c r="AI31" i="6" s="1"/>
  <c r="AH32" i="6"/>
  <c r="AI32" i="6" s="1"/>
  <c r="AH33" i="6"/>
  <c r="AI33" i="6" s="1"/>
  <c r="AH34" i="6"/>
  <c r="AI34" i="6" s="1"/>
  <c r="AH35" i="6"/>
  <c r="AI35" i="6" s="1"/>
  <c r="AH36" i="6"/>
  <c r="AI36" i="6" s="1"/>
  <c r="AH37" i="6"/>
  <c r="AI37" i="6" s="1"/>
  <c r="AH38" i="6"/>
  <c r="AI38" i="6" s="1"/>
  <c r="AH39" i="6"/>
  <c r="AI39" i="6" s="1"/>
  <c r="AH40" i="6"/>
  <c r="AI40" i="6" s="1"/>
  <c r="AH41" i="6"/>
  <c r="AI41" i="6" s="1"/>
  <c r="AH42" i="6"/>
  <c r="AI42" i="6" s="1"/>
  <c r="AH43" i="6"/>
  <c r="AI43" i="6" s="1"/>
  <c r="AH44" i="6"/>
  <c r="AI44" i="6" s="1"/>
  <c r="AH45" i="6"/>
  <c r="AI45" i="6" s="1"/>
  <c r="AH46" i="6"/>
  <c r="AI46" i="6" s="1"/>
  <c r="AH47" i="6"/>
  <c r="AI47" i="6" s="1"/>
  <c r="AH48" i="6"/>
  <c r="AI48" i="6" s="1"/>
  <c r="AH49" i="6"/>
  <c r="AI49" i="6" s="1"/>
  <c r="AH50" i="6"/>
  <c r="AI50" i="6" s="1"/>
  <c r="AH51" i="6"/>
  <c r="AI51" i="6" s="1"/>
  <c r="AH52" i="6"/>
  <c r="AI52" i="6" s="1"/>
  <c r="AH53" i="6"/>
  <c r="AI53" i="6" s="1"/>
  <c r="AH54" i="6"/>
  <c r="AI54" i="6" s="1"/>
  <c r="AH55" i="6"/>
  <c r="AI55" i="6" s="1"/>
  <c r="AH56" i="6"/>
  <c r="AI56" i="6" s="1"/>
  <c r="AH57" i="6"/>
  <c r="AI57" i="6" s="1"/>
  <c r="AH58" i="6"/>
  <c r="AI58" i="6" s="1"/>
  <c r="AH59" i="6"/>
  <c r="AI59" i="6" s="1"/>
  <c r="AH60" i="6"/>
  <c r="AI60" i="6" s="1"/>
  <c r="AH61" i="6"/>
  <c r="AI61" i="6" s="1"/>
  <c r="AH62" i="6"/>
  <c r="AI62" i="6" s="1"/>
  <c r="AH63" i="6"/>
  <c r="AI63" i="6" s="1"/>
  <c r="AH64" i="6"/>
  <c r="AI64" i="6" s="1"/>
  <c r="AH65" i="6"/>
  <c r="AI65" i="6" s="1"/>
  <c r="AH66" i="6"/>
  <c r="AI66" i="6" s="1"/>
  <c r="AH67" i="6"/>
  <c r="AI67" i="6" s="1"/>
  <c r="AH68" i="6"/>
  <c r="AI68" i="6" s="1"/>
  <c r="AH69" i="6"/>
  <c r="AI69" i="6" s="1"/>
  <c r="AH70" i="6"/>
  <c r="AI70" i="6" s="1"/>
  <c r="AH71" i="6"/>
  <c r="AI71" i="6" s="1"/>
  <c r="AH72" i="6"/>
  <c r="AI72" i="6" s="1"/>
  <c r="AH73" i="6"/>
  <c r="AI73" i="6" s="1"/>
  <c r="AH74" i="6"/>
  <c r="AI74" i="6" s="1"/>
  <c r="AH75" i="6"/>
  <c r="AI75" i="6" s="1"/>
  <c r="AH76" i="6"/>
  <c r="AI76" i="6" s="1"/>
  <c r="AH77" i="6"/>
  <c r="AI77" i="6" s="1"/>
  <c r="AH78" i="6"/>
  <c r="AI78" i="6" s="1"/>
  <c r="AH79" i="6"/>
  <c r="AI79" i="6" s="1"/>
  <c r="AH80" i="6"/>
  <c r="AI80" i="6" s="1"/>
  <c r="AH81" i="6"/>
  <c r="AI81" i="6" s="1"/>
  <c r="AH82" i="6"/>
  <c r="AI82" i="6" s="1"/>
  <c r="AH83" i="6"/>
  <c r="AI83" i="6" s="1"/>
  <c r="AH84" i="6"/>
  <c r="AI84" i="6" s="1"/>
  <c r="AH85" i="6"/>
  <c r="AI85" i="6" s="1"/>
  <c r="AH86" i="6"/>
  <c r="AI86" i="6" s="1"/>
  <c r="AH87" i="6"/>
  <c r="AI87" i="6" s="1"/>
  <c r="AH88" i="6"/>
  <c r="AI88" i="6" s="1"/>
  <c r="AH89" i="6"/>
  <c r="AI89" i="6" s="1"/>
  <c r="AH90" i="6"/>
  <c r="AI90" i="6" s="1"/>
  <c r="AH91" i="6"/>
  <c r="AI91" i="6" s="1"/>
  <c r="AH92" i="6"/>
  <c r="AI92" i="6" s="1"/>
  <c r="AH93" i="6"/>
  <c r="AI93" i="6" s="1"/>
  <c r="AH94" i="6"/>
  <c r="AI94" i="6" s="1"/>
  <c r="AH95" i="6"/>
  <c r="AI95" i="6" s="1"/>
  <c r="AH96" i="6"/>
  <c r="AI96" i="6" s="1"/>
  <c r="AH97" i="6"/>
  <c r="AI97" i="6" s="1"/>
  <c r="AH98" i="6"/>
  <c r="AI98" i="6" s="1"/>
  <c r="AH99" i="6"/>
  <c r="AI99" i="6" s="1"/>
  <c r="AH100" i="6"/>
  <c r="AI100" i="6" s="1"/>
  <c r="AH101" i="6"/>
  <c r="AI101" i="6" s="1"/>
  <c r="AH102" i="6"/>
  <c r="AI102" i="6" s="1"/>
  <c r="AH103" i="6"/>
  <c r="AI103" i="6" s="1"/>
  <c r="AH104" i="6"/>
  <c r="AI104" i="6" s="1"/>
  <c r="AH105" i="6"/>
  <c r="AI105" i="6" s="1"/>
  <c r="AH106" i="6"/>
  <c r="AI106" i="6" s="1"/>
  <c r="AH107" i="6"/>
  <c r="AI107" i="6" s="1"/>
  <c r="AH108" i="6"/>
  <c r="AI108" i="6" s="1"/>
  <c r="AH109" i="6"/>
  <c r="AI109" i="6" s="1"/>
  <c r="AH110" i="6"/>
  <c r="AI110" i="6" s="1"/>
  <c r="AH111" i="6"/>
  <c r="AI111" i="6" s="1"/>
  <c r="AH112" i="6"/>
  <c r="AI112" i="6" s="1"/>
  <c r="AH113" i="6"/>
  <c r="AI113" i="6" s="1"/>
  <c r="AH114" i="6"/>
  <c r="AI114" i="6" s="1"/>
  <c r="AH115" i="6"/>
  <c r="AI115" i="6" s="1"/>
  <c r="AH116" i="6"/>
  <c r="AI116" i="6" s="1"/>
  <c r="AH117" i="6"/>
  <c r="AI117" i="6" s="1"/>
  <c r="AH118" i="6"/>
  <c r="AI118" i="6" s="1"/>
  <c r="AH119" i="6"/>
  <c r="AI119" i="6" s="1"/>
  <c r="AH120" i="6"/>
  <c r="AI120" i="6" s="1"/>
  <c r="AH121" i="6"/>
  <c r="AI121" i="6" s="1"/>
  <c r="AH122" i="6"/>
  <c r="AI122" i="6" s="1"/>
  <c r="AH123" i="6"/>
  <c r="AI123" i="6" s="1"/>
  <c r="AH124" i="6"/>
  <c r="AI124" i="6" s="1"/>
  <c r="AH125" i="6"/>
  <c r="AI125" i="6" s="1"/>
  <c r="AH126" i="6"/>
  <c r="AI126" i="6" s="1"/>
  <c r="AH127" i="6"/>
  <c r="AI127" i="6" s="1"/>
  <c r="AH128" i="6"/>
  <c r="AI128" i="6" s="1"/>
  <c r="AH129" i="6"/>
  <c r="AI129" i="6" s="1"/>
  <c r="AH130" i="6"/>
  <c r="AI130" i="6" s="1"/>
  <c r="AH131" i="6"/>
  <c r="AI131" i="6" s="1"/>
  <c r="AH132" i="6"/>
  <c r="AI132" i="6" s="1"/>
  <c r="AH133" i="6"/>
  <c r="AI133" i="6" s="1"/>
  <c r="AH134" i="6"/>
  <c r="AI134" i="6" s="1"/>
  <c r="AH135" i="6"/>
  <c r="AI135" i="6" s="1"/>
  <c r="AH136" i="6"/>
  <c r="AI136" i="6" s="1"/>
  <c r="AH137" i="6"/>
  <c r="AI137" i="6" s="1"/>
  <c r="AH138" i="6"/>
  <c r="AI138" i="6" s="1"/>
  <c r="AH139" i="6"/>
  <c r="AI139" i="6" s="1"/>
  <c r="AH140" i="6"/>
  <c r="AI140" i="6" s="1"/>
  <c r="AH141" i="6"/>
  <c r="AI141" i="6" s="1"/>
  <c r="AH142" i="6"/>
  <c r="AI142" i="6" s="1"/>
  <c r="AH143" i="6"/>
  <c r="AI143" i="6" s="1"/>
  <c r="AH144" i="6"/>
  <c r="AI144" i="6" s="1"/>
  <c r="AH145" i="6"/>
  <c r="AI145" i="6" s="1"/>
  <c r="AH146" i="6"/>
  <c r="AI146" i="6" s="1"/>
  <c r="AH147" i="6"/>
  <c r="AI147" i="6" s="1"/>
  <c r="AH148" i="6"/>
  <c r="AI148" i="6" s="1"/>
  <c r="AH149" i="6"/>
  <c r="AI149" i="6" s="1"/>
  <c r="AH150" i="6"/>
  <c r="AI150" i="6" s="1"/>
  <c r="AH151" i="6"/>
  <c r="AI151" i="6" s="1"/>
  <c r="AH152" i="6"/>
  <c r="AI152" i="6" s="1"/>
  <c r="AH153" i="6"/>
  <c r="AI153" i="6" s="1"/>
  <c r="AH154" i="6"/>
  <c r="AI154" i="6" s="1"/>
  <c r="AH155" i="6"/>
  <c r="AI155" i="6" s="1"/>
  <c r="AH156" i="6"/>
  <c r="AI156" i="6" s="1"/>
  <c r="AH157" i="6"/>
  <c r="AI157" i="6" s="1"/>
  <c r="AH158" i="6"/>
  <c r="AI158" i="6" s="1"/>
  <c r="AH159" i="6"/>
  <c r="AI159" i="6" s="1"/>
  <c r="AH160" i="6"/>
  <c r="AI160" i="6" s="1"/>
  <c r="AH161" i="6"/>
  <c r="AI161" i="6" s="1"/>
  <c r="AH162" i="6"/>
  <c r="AI162" i="6" s="1"/>
  <c r="T2" i="6"/>
  <c r="U2" i="6" s="1"/>
  <c r="T3" i="6"/>
  <c r="U3" i="6" s="1"/>
  <c r="T4" i="6"/>
  <c r="U4" i="6" s="1"/>
  <c r="T5" i="6"/>
  <c r="U5" i="6" s="1"/>
  <c r="T6" i="6"/>
  <c r="U6" i="6" s="1"/>
  <c r="T7" i="6"/>
  <c r="U7" i="6" s="1"/>
  <c r="T8" i="6"/>
  <c r="U8" i="6" s="1"/>
  <c r="T9" i="6"/>
  <c r="U9" i="6" s="1"/>
  <c r="T10" i="6"/>
  <c r="U10" i="6" s="1"/>
  <c r="T11" i="6"/>
  <c r="U11" i="6" s="1"/>
  <c r="T12" i="6"/>
  <c r="U12" i="6" s="1"/>
  <c r="T13" i="6"/>
  <c r="U13" i="6" s="1"/>
  <c r="T14" i="6"/>
  <c r="U14" i="6" s="1"/>
  <c r="T15" i="6"/>
  <c r="U15" i="6" s="1"/>
  <c r="T16" i="6"/>
  <c r="U16" i="6" s="1"/>
  <c r="T17" i="6"/>
  <c r="U17" i="6" s="1"/>
  <c r="T18" i="6"/>
  <c r="U18" i="6" s="1"/>
  <c r="T19" i="6"/>
  <c r="U19" i="6" s="1"/>
  <c r="T20" i="6"/>
  <c r="U20" i="6" s="1"/>
  <c r="T21" i="6"/>
  <c r="U21" i="6" s="1"/>
  <c r="T22" i="6"/>
  <c r="U22" i="6" s="1"/>
  <c r="T23" i="6"/>
  <c r="U23" i="6" s="1"/>
  <c r="T24" i="6"/>
  <c r="U24" i="6" s="1"/>
  <c r="T25" i="6"/>
  <c r="U25" i="6" s="1"/>
  <c r="T26" i="6"/>
  <c r="U26" i="6" s="1"/>
  <c r="T27" i="6"/>
  <c r="U27" i="6" s="1"/>
  <c r="T28" i="6"/>
  <c r="U28" i="6" s="1"/>
  <c r="T29" i="6"/>
  <c r="U29" i="6" s="1"/>
  <c r="T30" i="6"/>
  <c r="U30" i="6" s="1"/>
  <c r="T31" i="6"/>
  <c r="U31" i="6" s="1"/>
  <c r="T32" i="6"/>
  <c r="U32" i="6" s="1"/>
  <c r="T33" i="6"/>
  <c r="U33" i="6" s="1"/>
  <c r="T34" i="6"/>
  <c r="U34" i="6" s="1"/>
  <c r="T35" i="6"/>
  <c r="U35" i="6" s="1"/>
  <c r="T36" i="6"/>
  <c r="U36" i="6" s="1"/>
  <c r="T37" i="6"/>
  <c r="U37" i="6" s="1"/>
  <c r="T38" i="6"/>
  <c r="U38" i="6" s="1"/>
  <c r="T39" i="6"/>
  <c r="U39" i="6" s="1"/>
  <c r="T40" i="6"/>
  <c r="U40" i="6" s="1"/>
  <c r="T41" i="6"/>
  <c r="U41" i="6" s="1"/>
  <c r="T42" i="6"/>
  <c r="U42" i="6" s="1"/>
  <c r="T43" i="6"/>
  <c r="U43" i="6" s="1"/>
  <c r="T44" i="6"/>
  <c r="U44" i="6" s="1"/>
  <c r="T45" i="6"/>
  <c r="U45" i="6" s="1"/>
  <c r="T46" i="6"/>
  <c r="U46" i="6" s="1"/>
  <c r="T47" i="6"/>
  <c r="U47" i="6" s="1"/>
  <c r="T48" i="6"/>
  <c r="U48" i="6" s="1"/>
  <c r="T49" i="6"/>
  <c r="U49" i="6" s="1"/>
  <c r="T50" i="6"/>
  <c r="U50" i="6" s="1"/>
  <c r="T51" i="6"/>
  <c r="U51" i="6" s="1"/>
  <c r="T52" i="6"/>
  <c r="U52" i="6" s="1"/>
  <c r="T53" i="6"/>
  <c r="U53" i="6" s="1"/>
  <c r="T54" i="6"/>
  <c r="U54" i="6" s="1"/>
  <c r="T55" i="6"/>
  <c r="U55" i="6" s="1"/>
  <c r="T56" i="6"/>
  <c r="U56" i="6" s="1"/>
  <c r="T57" i="6"/>
  <c r="U57" i="6" s="1"/>
  <c r="T58" i="6"/>
  <c r="U58" i="6" s="1"/>
  <c r="T59" i="6"/>
  <c r="U59" i="6" s="1"/>
  <c r="T60" i="6"/>
  <c r="U60" i="6" s="1"/>
  <c r="T61" i="6"/>
  <c r="U61" i="6" s="1"/>
  <c r="T62" i="6"/>
  <c r="U62" i="6" s="1"/>
  <c r="T63" i="6"/>
  <c r="U63" i="6" s="1"/>
  <c r="T64" i="6"/>
  <c r="U64" i="6" s="1"/>
  <c r="T65" i="6"/>
  <c r="U65" i="6" s="1"/>
  <c r="T66" i="6"/>
  <c r="U66" i="6" s="1"/>
  <c r="T67" i="6"/>
  <c r="U67" i="6" s="1"/>
  <c r="T68" i="6"/>
  <c r="U68" i="6" s="1"/>
  <c r="T69" i="6"/>
  <c r="U69" i="6" s="1"/>
  <c r="T70" i="6"/>
  <c r="U70" i="6" s="1"/>
  <c r="T71" i="6"/>
  <c r="U71" i="6" s="1"/>
  <c r="T72" i="6"/>
  <c r="U72" i="6" s="1"/>
  <c r="T73" i="6"/>
  <c r="U73" i="6" s="1"/>
  <c r="T74" i="6"/>
  <c r="U74" i="6" s="1"/>
  <c r="T75" i="6"/>
  <c r="U75" i="6" s="1"/>
  <c r="T76" i="6"/>
  <c r="U76" i="6" s="1"/>
  <c r="T77" i="6"/>
  <c r="U77" i="6" s="1"/>
  <c r="T78" i="6"/>
  <c r="U78" i="6" s="1"/>
  <c r="T79" i="6"/>
  <c r="U79" i="6" s="1"/>
  <c r="T80" i="6"/>
  <c r="U80" i="6" s="1"/>
  <c r="T81" i="6"/>
  <c r="U81" i="6" s="1"/>
  <c r="T82" i="6"/>
  <c r="U82" i="6" s="1"/>
  <c r="T83" i="6"/>
  <c r="U83" i="6" s="1"/>
  <c r="T84" i="6"/>
  <c r="U84" i="6" s="1"/>
  <c r="T85" i="6"/>
  <c r="U85" i="6" s="1"/>
  <c r="T86" i="6"/>
  <c r="U86" i="6" s="1"/>
  <c r="T87" i="6"/>
  <c r="U87" i="6" s="1"/>
  <c r="T88" i="6"/>
  <c r="U88" i="6" s="1"/>
  <c r="T89" i="6"/>
  <c r="U89" i="6" s="1"/>
  <c r="T90" i="6"/>
  <c r="U90" i="6" s="1"/>
  <c r="T91" i="6"/>
  <c r="U91" i="6" s="1"/>
  <c r="T92" i="6"/>
  <c r="U92" i="6" s="1"/>
  <c r="T93" i="6"/>
  <c r="U93" i="6" s="1"/>
  <c r="T94" i="6"/>
  <c r="U94" i="6" s="1"/>
  <c r="T95" i="6"/>
  <c r="U95" i="6" s="1"/>
  <c r="T96" i="6"/>
  <c r="U96" i="6" s="1"/>
  <c r="T97" i="6"/>
  <c r="U97" i="6" s="1"/>
  <c r="T98" i="6"/>
  <c r="U98" i="6" s="1"/>
  <c r="T99" i="6"/>
  <c r="U99" i="6" s="1"/>
  <c r="T100" i="6"/>
  <c r="U100" i="6" s="1"/>
  <c r="T101" i="6"/>
  <c r="U101" i="6" s="1"/>
  <c r="T102" i="6"/>
  <c r="U102" i="6" s="1"/>
  <c r="T103" i="6"/>
  <c r="U103" i="6" s="1"/>
  <c r="T104" i="6"/>
  <c r="U104" i="6" s="1"/>
  <c r="T105" i="6"/>
  <c r="U105" i="6" s="1"/>
  <c r="T106" i="6"/>
  <c r="U106" i="6" s="1"/>
  <c r="T107" i="6"/>
  <c r="U107" i="6" s="1"/>
  <c r="T108" i="6"/>
  <c r="U108" i="6" s="1"/>
  <c r="T109" i="6"/>
  <c r="U109" i="6" s="1"/>
  <c r="T110" i="6"/>
  <c r="U110" i="6" s="1"/>
  <c r="T111" i="6"/>
  <c r="U111" i="6" s="1"/>
  <c r="T112" i="6"/>
  <c r="U112" i="6" s="1"/>
  <c r="T113" i="6"/>
  <c r="U113" i="6" s="1"/>
  <c r="T114" i="6"/>
  <c r="U114" i="6" s="1"/>
  <c r="T115" i="6"/>
  <c r="U115" i="6" s="1"/>
  <c r="T116" i="6"/>
  <c r="U116" i="6" s="1"/>
  <c r="T117" i="6"/>
  <c r="U117" i="6" s="1"/>
  <c r="T118" i="6"/>
  <c r="U118" i="6" s="1"/>
  <c r="T119" i="6"/>
  <c r="U119" i="6" s="1"/>
  <c r="T120" i="6"/>
  <c r="U120" i="6" s="1"/>
  <c r="T121" i="6"/>
  <c r="U121" i="6" s="1"/>
  <c r="T122" i="6"/>
  <c r="U122" i="6" s="1"/>
  <c r="T123" i="6"/>
  <c r="U123" i="6" s="1"/>
  <c r="T124" i="6"/>
  <c r="U124" i="6" s="1"/>
  <c r="T125" i="6"/>
  <c r="U125" i="6" s="1"/>
  <c r="T126" i="6"/>
  <c r="U126" i="6" s="1"/>
  <c r="T127" i="6"/>
  <c r="U127" i="6" s="1"/>
  <c r="T128" i="6"/>
  <c r="U128" i="6" s="1"/>
  <c r="T129" i="6"/>
  <c r="U129" i="6" s="1"/>
  <c r="T130" i="6"/>
  <c r="U130" i="6" s="1"/>
  <c r="T131" i="6"/>
  <c r="U131" i="6" s="1"/>
  <c r="T132" i="6"/>
  <c r="U132" i="6" s="1"/>
  <c r="T133" i="6"/>
  <c r="U133" i="6" s="1"/>
  <c r="T134" i="6"/>
  <c r="U134" i="6" s="1"/>
  <c r="T135" i="6"/>
  <c r="U135" i="6" s="1"/>
  <c r="T136" i="6"/>
  <c r="U136" i="6" s="1"/>
  <c r="T137" i="6"/>
  <c r="U137" i="6" s="1"/>
  <c r="T138" i="6"/>
  <c r="U138" i="6" s="1"/>
  <c r="T139" i="6"/>
  <c r="U139" i="6" s="1"/>
  <c r="T140" i="6"/>
  <c r="U140" i="6" s="1"/>
  <c r="T141" i="6"/>
  <c r="U141" i="6" s="1"/>
  <c r="T142" i="6"/>
  <c r="U142" i="6" s="1"/>
  <c r="T143" i="6"/>
  <c r="U143" i="6" s="1"/>
  <c r="T144" i="6"/>
  <c r="U144" i="6" s="1"/>
  <c r="T145" i="6"/>
  <c r="U145" i="6" s="1"/>
  <c r="T146" i="6"/>
  <c r="U146" i="6" s="1"/>
  <c r="T147" i="6"/>
  <c r="U147" i="6" s="1"/>
  <c r="T148" i="6"/>
  <c r="U148" i="6" s="1"/>
  <c r="T149" i="6"/>
  <c r="U149" i="6" s="1"/>
  <c r="T150" i="6"/>
  <c r="U150" i="6" s="1"/>
  <c r="T151" i="6"/>
  <c r="U151" i="6" s="1"/>
  <c r="T152" i="6"/>
  <c r="U152" i="6" s="1"/>
  <c r="T153" i="6"/>
  <c r="U153" i="6" s="1"/>
  <c r="T154" i="6"/>
  <c r="U154" i="6" s="1"/>
  <c r="T155" i="6"/>
  <c r="U155" i="6" s="1"/>
  <c r="T156" i="6"/>
  <c r="U156" i="6" s="1"/>
  <c r="T157" i="6"/>
  <c r="U157" i="6" s="1"/>
  <c r="T158" i="6"/>
  <c r="U158" i="6" s="1"/>
  <c r="T159" i="6"/>
  <c r="U159" i="6" s="1"/>
  <c r="T160" i="6"/>
  <c r="U160" i="6" s="1"/>
  <c r="T161" i="6"/>
  <c r="U161" i="6" s="1"/>
  <c r="T162" i="6"/>
  <c r="U162" i="6" s="1"/>
  <c r="S2" i="6"/>
  <c r="AJ3" i="6"/>
  <c r="AJ4" i="6"/>
  <c r="AJ5" i="6"/>
  <c r="AJ6" i="6"/>
  <c r="AJ7" i="6"/>
  <c r="AJ8" i="6"/>
  <c r="AJ9" i="6"/>
  <c r="AJ10" i="6"/>
  <c r="AJ11" i="6"/>
  <c r="AJ12" i="6"/>
  <c r="AJ13" i="6"/>
  <c r="AJ14" i="6"/>
  <c r="AJ15" i="6"/>
  <c r="AJ16" i="6"/>
  <c r="AJ17" i="6"/>
  <c r="AJ18" i="6"/>
  <c r="AJ19" i="6"/>
  <c r="AJ20" i="6"/>
  <c r="AJ21" i="6"/>
  <c r="AJ22" i="6"/>
  <c r="AJ23" i="6"/>
  <c r="AJ24" i="6"/>
  <c r="AJ25" i="6"/>
  <c r="AJ26" i="6"/>
  <c r="AJ27" i="6"/>
  <c r="AJ28" i="6"/>
  <c r="AJ29" i="6"/>
  <c r="AJ30" i="6"/>
  <c r="AJ31" i="6"/>
  <c r="AJ32" i="6"/>
  <c r="AJ33" i="6"/>
  <c r="AJ34" i="6"/>
  <c r="AJ35" i="6"/>
  <c r="AJ36" i="6"/>
  <c r="AJ37" i="6"/>
  <c r="AJ38" i="6"/>
  <c r="AJ39" i="6"/>
  <c r="AJ40" i="6"/>
  <c r="AJ41" i="6"/>
  <c r="AJ42" i="6"/>
  <c r="AJ43" i="6"/>
  <c r="AJ44" i="6"/>
  <c r="AJ45" i="6"/>
  <c r="AJ46" i="6"/>
  <c r="AJ47" i="6"/>
  <c r="AJ48" i="6"/>
  <c r="AJ49" i="6"/>
  <c r="AJ50" i="6"/>
  <c r="AJ51" i="6"/>
  <c r="AJ52" i="6"/>
  <c r="AJ53" i="6"/>
  <c r="AJ54" i="6"/>
  <c r="AJ55" i="6"/>
  <c r="AJ56" i="6"/>
  <c r="AJ57" i="6"/>
  <c r="AJ58" i="6"/>
  <c r="AJ59" i="6"/>
  <c r="AJ60" i="6"/>
  <c r="AJ61" i="6"/>
  <c r="AJ62" i="6"/>
  <c r="AJ63" i="6"/>
  <c r="AJ64" i="6"/>
  <c r="AJ65" i="6"/>
  <c r="AJ66" i="6"/>
  <c r="AJ67" i="6"/>
  <c r="AJ68" i="6"/>
  <c r="AJ69" i="6"/>
  <c r="AJ70" i="6"/>
  <c r="AJ71" i="6"/>
  <c r="AJ72" i="6"/>
  <c r="AJ73" i="6"/>
  <c r="AJ74" i="6"/>
  <c r="AJ75" i="6"/>
  <c r="AJ76" i="6"/>
  <c r="AJ77" i="6"/>
  <c r="AJ78" i="6"/>
  <c r="AJ79" i="6"/>
  <c r="AJ80" i="6"/>
  <c r="AJ81" i="6"/>
  <c r="AJ82" i="6"/>
  <c r="AJ83" i="6"/>
  <c r="AJ84" i="6"/>
  <c r="AJ85" i="6"/>
  <c r="AJ86" i="6"/>
  <c r="AJ87" i="6"/>
  <c r="AJ88" i="6"/>
  <c r="AJ89" i="6"/>
  <c r="AJ90" i="6"/>
  <c r="AJ91" i="6"/>
  <c r="AJ92" i="6"/>
  <c r="AJ93" i="6"/>
  <c r="AJ94" i="6"/>
  <c r="AJ95" i="6"/>
  <c r="AJ96" i="6"/>
  <c r="AJ97" i="6"/>
  <c r="AJ98" i="6"/>
  <c r="AJ99" i="6"/>
  <c r="AJ100" i="6"/>
  <c r="AJ101" i="6"/>
  <c r="AJ102" i="6"/>
  <c r="AJ103" i="6"/>
  <c r="AJ104" i="6"/>
  <c r="AJ105" i="6"/>
  <c r="AJ106" i="6"/>
  <c r="AJ107" i="6"/>
  <c r="AJ108" i="6"/>
  <c r="AJ109" i="6"/>
  <c r="AJ110" i="6"/>
  <c r="AJ111" i="6"/>
  <c r="AJ112" i="6"/>
  <c r="AJ113" i="6"/>
  <c r="AJ114" i="6"/>
  <c r="AJ115" i="6"/>
  <c r="AJ116" i="6"/>
  <c r="AJ117" i="6"/>
  <c r="AJ118" i="6"/>
  <c r="AJ119" i="6"/>
  <c r="AJ120" i="6"/>
  <c r="AJ121" i="6"/>
  <c r="AJ122" i="6"/>
  <c r="AJ123" i="6"/>
  <c r="AJ124" i="6"/>
  <c r="AJ125" i="6"/>
  <c r="AJ126" i="6"/>
  <c r="AJ127" i="6"/>
  <c r="AJ128" i="6"/>
  <c r="AJ129" i="6"/>
  <c r="AJ130" i="6"/>
  <c r="AJ131" i="6"/>
  <c r="AJ132" i="6"/>
  <c r="AJ133" i="6"/>
  <c r="AJ134" i="6"/>
  <c r="AJ135" i="6"/>
  <c r="AJ136" i="6"/>
  <c r="AJ137" i="6"/>
  <c r="AJ138" i="6"/>
  <c r="AJ139" i="6"/>
  <c r="AJ140" i="6"/>
  <c r="AJ141" i="6"/>
  <c r="AJ142" i="6"/>
  <c r="AJ143" i="6"/>
  <c r="AJ144" i="6"/>
  <c r="AJ145" i="6"/>
  <c r="AJ146" i="6"/>
  <c r="AJ147" i="6"/>
  <c r="AJ148" i="6"/>
  <c r="AJ149" i="6"/>
  <c r="AJ150" i="6"/>
  <c r="AJ151" i="6"/>
  <c r="AJ152" i="6"/>
  <c r="AJ153" i="6"/>
  <c r="AJ154" i="6"/>
  <c r="AJ155" i="6"/>
  <c r="AJ156" i="6"/>
  <c r="AJ157" i="6"/>
  <c r="AJ158" i="6"/>
  <c r="AJ159" i="6"/>
  <c r="AJ160" i="6"/>
  <c r="AJ161" i="6"/>
  <c r="AJ162" i="6"/>
  <c r="S3" i="6"/>
  <c r="S4" i="6"/>
  <c r="S5" i="6"/>
  <c r="S6" i="6"/>
  <c r="S7" i="6"/>
  <c r="S8" i="6"/>
  <c r="S9" i="6"/>
  <c r="S10" i="6"/>
  <c r="S11" i="6"/>
  <c r="S12" i="6"/>
  <c r="S13" i="6"/>
  <c r="S14" i="6"/>
  <c r="S15" i="6"/>
  <c r="S16" i="6"/>
  <c r="S17" i="6"/>
  <c r="S18" i="6"/>
  <c r="S19" i="6"/>
  <c r="S20" i="6"/>
  <c r="S21" i="6"/>
  <c r="S22" i="6"/>
  <c r="S23" i="6"/>
  <c r="S24" i="6"/>
  <c r="S25" i="6"/>
  <c r="S26" i="6"/>
  <c r="S27" i="6"/>
  <c r="S28" i="6"/>
  <c r="S29" i="6"/>
  <c r="S30" i="6"/>
  <c r="S31" i="6"/>
  <c r="S32" i="6"/>
  <c r="S33" i="6"/>
  <c r="S34" i="6"/>
  <c r="S35" i="6"/>
  <c r="S36" i="6"/>
  <c r="S37" i="6"/>
  <c r="S38" i="6"/>
  <c r="S39" i="6"/>
  <c r="S40" i="6"/>
  <c r="S41" i="6"/>
  <c r="S42" i="6"/>
  <c r="S43" i="6"/>
  <c r="S44" i="6"/>
  <c r="S45" i="6"/>
  <c r="S46" i="6"/>
  <c r="S47" i="6"/>
  <c r="S48" i="6"/>
  <c r="S49" i="6"/>
  <c r="S50" i="6"/>
  <c r="S51" i="6"/>
  <c r="S52" i="6"/>
  <c r="S53" i="6"/>
  <c r="S54" i="6"/>
  <c r="S55" i="6"/>
  <c r="S56" i="6"/>
  <c r="S57" i="6"/>
  <c r="S58" i="6"/>
  <c r="S59" i="6"/>
  <c r="S60" i="6"/>
  <c r="S61" i="6"/>
  <c r="S62" i="6"/>
  <c r="S63" i="6"/>
  <c r="S64" i="6"/>
  <c r="S65" i="6"/>
  <c r="S66" i="6"/>
  <c r="S67" i="6"/>
  <c r="S68" i="6"/>
  <c r="S69" i="6"/>
  <c r="S70" i="6"/>
  <c r="S71" i="6"/>
  <c r="S72" i="6"/>
  <c r="S73" i="6"/>
  <c r="S74" i="6"/>
  <c r="S75" i="6"/>
  <c r="S76" i="6"/>
  <c r="S77" i="6"/>
  <c r="S78" i="6"/>
  <c r="S79" i="6"/>
  <c r="S80" i="6"/>
  <c r="S81" i="6"/>
  <c r="S82" i="6"/>
  <c r="S83" i="6"/>
  <c r="S84" i="6"/>
  <c r="S85" i="6"/>
  <c r="S86" i="6"/>
  <c r="S87" i="6"/>
  <c r="S88" i="6"/>
  <c r="S89" i="6"/>
  <c r="S90" i="6"/>
  <c r="S91" i="6"/>
  <c r="S92" i="6"/>
  <c r="S93" i="6"/>
  <c r="S94" i="6"/>
  <c r="S95" i="6"/>
  <c r="S96" i="6"/>
  <c r="S97" i="6"/>
  <c r="S98" i="6"/>
  <c r="S99" i="6"/>
  <c r="S100" i="6"/>
  <c r="S101" i="6"/>
  <c r="S102" i="6"/>
  <c r="S103" i="6"/>
  <c r="S104" i="6"/>
  <c r="S105" i="6"/>
  <c r="S106" i="6"/>
  <c r="S107" i="6"/>
  <c r="S108" i="6"/>
  <c r="S109" i="6"/>
  <c r="S110" i="6"/>
  <c r="S111" i="6"/>
  <c r="S112" i="6"/>
  <c r="S113" i="6"/>
  <c r="S114" i="6"/>
  <c r="S115" i="6"/>
  <c r="S116" i="6"/>
  <c r="S117" i="6"/>
  <c r="S118" i="6"/>
  <c r="S119" i="6"/>
  <c r="S120" i="6"/>
  <c r="S121" i="6"/>
  <c r="S122" i="6"/>
  <c r="S123" i="6"/>
  <c r="S124" i="6"/>
  <c r="S125" i="6"/>
  <c r="S126" i="6"/>
  <c r="S127" i="6"/>
  <c r="S128" i="6"/>
  <c r="S129" i="6"/>
  <c r="S130" i="6"/>
  <c r="S131" i="6"/>
  <c r="S132" i="6"/>
  <c r="S133" i="6"/>
  <c r="S134" i="6"/>
  <c r="S135" i="6"/>
  <c r="S136" i="6"/>
  <c r="S137" i="6"/>
  <c r="S138" i="6"/>
  <c r="S139" i="6"/>
  <c r="S140" i="6"/>
  <c r="S141" i="6"/>
  <c r="S142" i="6"/>
  <c r="S143" i="6"/>
  <c r="S144" i="6"/>
  <c r="S145" i="6"/>
  <c r="S146" i="6"/>
  <c r="S147" i="6"/>
  <c r="S148" i="6"/>
  <c r="S149" i="6"/>
  <c r="S150" i="6"/>
  <c r="S151" i="6"/>
  <c r="S152" i="6"/>
  <c r="S153" i="6"/>
  <c r="S154" i="6"/>
  <c r="S155" i="6"/>
  <c r="S156" i="6"/>
  <c r="S157" i="6"/>
  <c r="S158" i="6"/>
  <c r="S159" i="6"/>
  <c r="S160" i="6"/>
  <c r="S161" i="6"/>
  <c r="S162" i="6"/>
  <c r="AG13" i="12"/>
  <c r="AH13" i="12"/>
  <c r="AI13" i="12"/>
  <c r="AG14" i="12"/>
  <c r="AH14" i="12"/>
  <c r="AI14" i="12"/>
  <c r="AG15" i="12"/>
  <c r="AH15" i="12"/>
  <c r="AI15" i="12"/>
  <c r="AG16" i="12"/>
  <c r="AH16" i="12"/>
  <c r="AI16" i="12"/>
  <c r="AG17" i="12"/>
  <c r="AH17" i="12"/>
  <c r="AI17" i="12"/>
  <c r="AG18" i="12"/>
  <c r="AH18" i="12"/>
  <c r="AI18" i="12"/>
  <c r="AG19" i="12"/>
  <c r="AH19" i="12"/>
  <c r="AI19" i="12"/>
  <c r="AG20" i="12"/>
  <c r="AH20" i="12"/>
  <c r="AI20" i="12"/>
  <c r="AG21" i="12"/>
  <c r="AH21" i="12"/>
  <c r="AI21" i="12"/>
  <c r="AG22" i="12"/>
  <c r="AH22" i="12"/>
  <c r="AI22" i="12"/>
  <c r="AG23" i="12"/>
  <c r="AH23" i="12"/>
  <c r="AI23" i="12"/>
  <c r="AG24" i="12"/>
  <c r="AH24" i="12"/>
  <c r="AI24" i="12"/>
  <c r="AG25" i="12"/>
  <c r="AH25" i="12"/>
  <c r="AI25" i="12"/>
  <c r="AG26" i="12"/>
  <c r="AH26" i="12"/>
  <c r="AI26" i="12"/>
  <c r="AG27" i="12"/>
  <c r="AH27" i="12"/>
  <c r="AI27" i="12"/>
  <c r="AG28" i="12"/>
  <c r="AH28" i="12"/>
  <c r="AI28" i="12"/>
  <c r="AG29" i="12"/>
  <c r="AH29" i="12"/>
  <c r="AI29" i="12"/>
  <c r="AG30" i="12"/>
  <c r="AH30" i="12"/>
  <c r="AI30" i="12"/>
  <c r="AG31" i="12"/>
  <c r="AH31" i="12"/>
  <c r="AI31" i="12"/>
  <c r="AG32" i="12"/>
  <c r="AH32" i="12"/>
  <c r="AI32" i="12"/>
  <c r="AG33" i="12"/>
  <c r="AH33" i="12"/>
  <c r="AI33" i="12"/>
  <c r="AG34" i="12"/>
  <c r="AH34" i="12"/>
  <c r="AI34" i="12"/>
  <c r="AG35" i="12"/>
  <c r="AH35" i="12"/>
  <c r="AI35" i="12"/>
  <c r="AG36" i="12"/>
  <c r="AH36" i="12"/>
  <c r="AI36" i="12"/>
  <c r="AG37" i="12"/>
  <c r="AH37" i="12"/>
  <c r="AI37" i="12"/>
  <c r="AG38" i="12"/>
  <c r="AH38" i="12"/>
  <c r="AI38" i="12"/>
  <c r="AG39" i="12"/>
  <c r="AH39" i="12"/>
  <c r="AI39" i="12"/>
  <c r="AG40" i="12"/>
  <c r="AH40" i="12"/>
  <c r="AI40" i="12"/>
  <c r="AG41" i="12"/>
  <c r="AH41" i="12"/>
  <c r="AI41" i="12"/>
  <c r="AG42" i="12"/>
  <c r="AH42" i="12"/>
  <c r="AI42" i="12"/>
  <c r="AG43" i="12"/>
  <c r="AH43" i="12"/>
  <c r="AI43" i="12"/>
  <c r="AG44" i="12"/>
  <c r="AH44" i="12"/>
  <c r="AI44" i="12"/>
  <c r="AG45" i="12"/>
  <c r="AH45" i="12"/>
  <c r="AI45" i="12"/>
  <c r="AG46" i="12"/>
  <c r="AH46" i="12"/>
  <c r="AI46" i="12"/>
  <c r="AG47" i="12"/>
  <c r="AH47" i="12"/>
  <c r="AI47" i="12"/>
  <c r="AG48" i="12"/>
  <c r="AH48" i="12"/>
  <c r="AI48" i="12"/>
  <c r="AG49" i="12"/>
  <c r="AH49" i="12"/>
  <c r="AI49" i="12"/>
  <c r="AG50" i="12"/>
  <c r="AH50" i="12"/>
  <c r="AI50" i="12"/>
  <c r="AG51" i="12"/>
  <c r="AH51" i="12"/>
  <c r="AI51" i="12"/>
  <c r="AG52" i="12"/>
  <c r="AH52" i="12"/>
  <c r="AI52" i="12"/>
  <c r="AG53" i="12"/>
  <c r="AH53" i="12"/>
  <c r="AI53" i="12"/>
  <c r="AG54" i="12"/>
  <c r="AH54" i="12"/>
  <c r="AI54" i="12"/>
  <c r="AA13" i="12"/>
  <c r="Z13" i="12"/>
  <c r="Y13" i="12"/>
  <c r="AA12" i="12"/>
  <c r="Z12" i="12"/>
  <c r="Y12" i="12"/>
  <c r="AA11" i="12"/>
  <c r="Z11" i="12"/>
  <c r="Y11" i="12"/>
  <c r="Q7" i="12"/>
  <c r="Q6" i="12"/>
  <c r="K7" i="12"/>
  <c r="K6" i="12"/>
  <c r="E6" i="12"/>
  <c r="E7" i="12"/>
  <c r="BO13" i="12" l="1" a="1"/>
  <c r="BO13" i="12" s="1"/>
  <c r="B1" i="8" a="1"/>
  <c r="B1" i="8" s="1"/>
  <c r="O3" i="8" a="1"/>
  <c r="O3" i="8" s="1"/>
  <c r="BO3" i="12" a="1"/>
  <c r="BO3" i="12" s="1"/>
  <c r="BO8" i="12" a="1"/>
  <c r="BO8" i="12" s="1"/>
  <c r="T6" i="12"/>
  <c r="AL168" i="6"/>
  <c r="AL167" i="6"/>
  <c r="AL165" i="6"/>
  <c r="AL166" i="6"/>
  <c r="AL164" i="6"/>
  <c r="AL163" i="6"/>
  <c r="AN92" i="6"/>
  <c r="AN60" i="6"/>
  <c r="AN43" i="6"/>
  <c r="AN27" i="6"/>
  <c r="AN11" i="6"/>
  <c r="AN100" i="6"/>
  <c r="AN68" i="6"/>
  <c r="AN47" i="6"/>
  <c r="AN31" i="6"/>
  <c r="AN15" i="6"/>
  <c r="AN95" i="6"/>
  <c r="AN63" i="6"/>
  <c r="AN44" i="6"/>
  <c r="AN28" i="6"/>
  <c r="AN12" i="6"/>
  <c r="AN119" i="6"/>
  <c r="AN87" i="6"/>
  <c r="AN59" i="6"/>
  <c r="AN40" i="6"/>
  <c r="AN24" i="6"/>
  <c r="AN8" i="6"/>
  <c r="AN116" i="6"/>
  <c r="AN84" i="6"/>
  <c r="AN55" i="6"/>
  <c r="AN39" i="6"/>
  <c r="AN23" i="6"/>
  <c r="AN7" i="6"/>
  <c r="AN111" i="6"/>
  <c r="AN79" i="6"/>
  <c r="AN52" i="6"/>
  <c r="AN36" i="6"/>
  <c r="AN20" i="6"/>
  <c r="AN4" i="6"/>
  <c r="AN108" i="6"/>
  <c r="AN76" i="6"/>
  <c r="AN51" i="6"/>
  <c r="AN35" i="6"/>
  <c r="AN19" i="6"/>
  <c r="AN3" i="6"/>
  <c r="AN103" i="6"/>
  <c r="AN71" i="6"/>
  <c r="AN48" i="6"/>
  <c r="AN32" i="6"/>
  <c r="AN16" i="6"/>
  <c r="AN91" i="6"/>
  <c r="AN90" i="6"/>
  <c r="AN161" i="6"/>
  <c r="AN153" i="6"/>
  <c r="AN145" i="6"/>
  <c r="AN137" i="6"/>
  <c r="AN129" i="6"/>
  <c r="AN121" i="6"/>
  <c r="AN113" i="6"/>
  <c r="AN105" i="6"/>
  <c r="AN97" i="6"/>
  <c r="AN89" i="6"/>
  <c r="AN81" i="6"/>
  <c r="AN73" i="6"/>
  <c r="AN65" i="6"/>
  <c r="AN57" i="6"/>
  <c r="AN49" i="6"/>
  <c r="AN41" i="6"/>
  <c r="AN33" i="6"/>
  <c r="AN25" i="6"/>
  <c r="AN17" i="6"/>
  <c r="AN9" i="6"/>
  <c r="AN160" i="6"/>
  <c r="AN152" i="6"/>
  <c r="AN144" i="6"/>
  <c r="AN136" i="6"/>
  <c r="AN128" i="6"/>
  <c r="AN120" i="6"/>
  <c r="AN112" i="6"/>
  <c r="AN104" i="6"/>
  <c r="AN96" i="6"/>
  <c r="AN88" i="6"/>
  <c r="AN80" i="6"/>
  <c r="AN72" i="6"/>
  <c r="AN64" i="6"/>
  <c r="AN56" i="6"/>
  <c r="AN159" i="6"/>
  <c r="AN151" i="6"/>
  <c r="AN143" i="6"/>
  <c r="AN135" i="6"/>
  <c r="AN127" i="6"/>
  <c r="AN158" i="6"/>
  <c r="AN150" i="6"/>
  <c r="AN142" i="6"/>
  <c r="AN134" i="6"/>
  <c r="AN126" i="6"/>
  <c r="AN118" i="6"/>
  <c r="AN110" i="6"/>
  <c r="AN102" i="6"/>
  <c r="AN94" i="6"/>
  <c r="AN86" i="6"/>
  <c r="AN78" i="6"/>
  <c r="AN70" i="6"/>
  <c r="AN62" i="6"/>
  <c r="AN54" i="6"/>
  <c r="AN46" i="6"/>
  <c r="AN38" i="6"/>
  <c r="AN30" i="6"/>
  <c r="AN22" i="6"/>
  <c r="AN14" i="6"/>
  <c r="AN6" i="6"/>
  <c r="AN157" i="6"/>
  <c r="AN149" i="6"/>
  <c r="AN141" i="6"/>
  <c r="AN133" i="6"/>
  <c r="AN125" i="6"/>
  <c r="AN117" i="6"/>
  <c r="AN109" i="6"/>
  <c r="AN101" i="6"/>
  <c r="AN93" i="6"/>
  <c r="AN85" i="6"/>
  <c r="AN77" i="6"/>
  <c r="AN69" i="6"/>
  <c r="AN61" i="6"/>
  <c r="AN53" i="6"/>
  <c r="AN45" i="6"/>
  <c r="AN37" i="6"/>
  <c r="AN29" i="6"/>
  <c r="AN21" i="6"/>
  <c r="AN13" i="6"/>
  <c r="AN5" i="6"/>
  <c r="AN156" i="6"/>
  <c r="AN148" i="6"/>
  <c r="AN140" i="6"/>
  <c r="AN132" i="6"/>
  <c r="AN124" i="6"/>
  <c r="AN155" i="6"/>
  <c r="AN147" i="6"/>
  <c r="AN139" i="6"/>
  <c r="AN131" i="6"/>
  <c r="AN123" i="6"/>
  <c r="AN115" i="6"/>
  <c r="AN107" i="6"/>
  <c r="AN99" i="6"/>
  <c r="AN83" i="6"/>
  <c r="AN75" i="6"/>
  <c r="AN67" i="6"/>
  <c r="AN162" i="6"/>
  <c r="AN154" i="6"/>
  <c r="AN146" i="6"/>
  <c r="AN138" i="6"/>
  <c r="AN130" i="6"/>
  <c r="AN122" i="6"/>
  <c r="AN114" i="6"/>
  <c r="AN106" i="6"/>
  <c r="AN98" i="6"/>
  <c r="AN82" i="6"/>
  <c r="AN74" i="6"/>
  <c r="AN66" i="6"/>
  <c r="AN58" i="6"/>
  <c r="AN50" i="6"/>
  <c r="AN42" i="6"/>
  <c r="AN34" i="6"/>
  <c r="AN26" i="6"/>
  <c r="AN18" i="6"/>
  <c r="AN10" i="6"/>
  <c r="AN2" i="6"/>
  <c r="M2" i="8"/>
  <c r="L2" i="8"/>
  <c r="K2" i="8"/>
  <c r="H2" i="6" l="1"/>
  <c r="H3" i="6"/>
  <c r="H4" i="6"/>
  <c r="H5" i="6"/>
  <c r="H6" i="6"/>
  <c r="H7" i="6"/>
  <c r="H8" i="6"/>
  <c r="H9" i="6"/>
  <c r="H10" i="6"/>
  <c r="H11" i="6"/>
  <c r="H12" i="6"/>
  <c r="H13" i="6"/>
  <c r="H14" i="6"/>
  <c r="H15" i="6"/>
  <c r="H16" i="6"/>
  <c r="H17" i="6"/>
  <c r="H18" i="6"/>
  <c r="H19" i="6"/>
  <c r="H20" i="6"/>
  <c r="H21" i="6"/>
  <c r="H22" i="6"/>
  <c r="H23" i="6"/>
  <c r="H24" i="6"/>
  <c r="H25" i="6"/>
  <c r="H26" i="6"/>
  <c r="H27" i="6"/>
  <c r="H28" i="6"/>
  <c r="H29" i="6"/>
  <c r="H30" i="6"/>
  <c r="H31" i="6"/>
  <c r="H32" i="6"/>
  <c r="H33" i="6"/>
  <c r="H34" i="6"/>
  <c r="H35" i="6"/>
  <c r="H36" i="6"/>
  <c r="H37" i="6"/>
  <c r="H38" i="6"/>
  <c r="H39" i="6"/>
  <c r="H40" i="6"/>
  <c r="H41" i="6"/>
  <c r="H42" i="6"/>
  <c r="H43" i="6"/>
  <c r="H44" i="6"/>
  <c r="H45" i="6"/>
  <c r="H46" i="6"/>
  <c r="H47" i="6"/>
  <c r="H48" i="6"/>
  <c r="H49" i="6"/>
  <c r="H50" i="6"/>
  <c r="H51" i="6"/>
  <c r="H52" i="6"/>
  <c r="H53" i="6"/>
  <c r="H54" i="6"/>
  <c r="H55" i="6"/>
  <c r="H56" i="6"/>
  <c r="H57" i="6"/>
  <c r="H58" i="6"/>
  <c r="H59" i="6"/>
  <c r="H60" i="6"/>
  <c r="H61" i="6"/>
  <c r="H62" i="6"/>
  <c r="H63" i="6"/>
  <c r="H64" i="6"/>
  <c r="H65" i="6"/>
  <c r="H66" i="6"/>
  <c r="H67" i="6"/>
  <c r="H68" i="6"/>
  <c r="H69" i="6"/>
  <c r="H70" i="6"/>
  <c r="H71" i="6"/>
  <c r="H72" i="6"/>
  <c r="H73" i="6"/>
  <c r="H74" i="6"/>
  <c r="H75" i="6"/>
  <c r="H76" i="6"/>
  <c r="H77" i="6"/>
  <c r="H78" i="6"/>
  <c r="H79" i="6"/>
  <c r="H80" i="6"/>
  <c r="H81" i="6"/>
  <c r="H82" i="6"/>
  <c r="H83" i="6"/>
  <c r="H84" i="6"/>
  <c r="H85" i="6"/>
  <c r="H86" i="6"/>
  <c r="H87" i="6"/>
  <c r="H88" i="6"/>
  <c r="H89" i="6"/>
  <c r="H90" i="6"/>
  <c r="H91" i="6"/>
  <c r="H92" i="6"/>
  <c r="H93" i="6"/>
  <c r="H94" i="6"/>
  <c r="H95" i="6"/>
  <c r="H96" i="6"/>
  <c r="H97" i="6"/>
  <c r="H98" i="6"/>
  <c r="H99" i="6"/>
  <c r="H100" i="6"/>
  <c r="H101" i="6"/>
  <c r="H102" i="6"/>
  <c r="H103" i="6"/>
  <c r="H104" i="6"/>
  <c r="H105" i="6"/>
  <c r="H106" i="6"/>
  <c r="H107" i="6"/>
  <c r="H108" i="6"/>
  <c r="H109" i="6"/>
  <c r="H110" i="6"/>
  <c r="H111" i="6"/>
  <c r="H112" i="6"/>
  <c r="H113" i="6"/>
  <c r="H114" i="6"/>
  <c r="H115" i="6"/>
  <c r="H116" i="6"/>
  <c r="H117" i="6"/>
  <c r="H118" i="6"/>
  <c r="H119" i="6"/>
  <c r="H120" i="6"/>
  <c r="H121" i="6"/>
  <c r="H122" i="6"/>
  <c r="H123" i="6"/>
  <c r="H124" i="6"/>
  <c r="H125" i="6"/>
  <c r="H126" i="6"/>
  <c r="H127" i="6"/>
  <c r="H128" i="6"/>
  <c r="H129" i="6"/>
  <c r="H130" i="6"/>
  <c r="H131" i="6"/>
  <c r="H132" i="6"/>
  <c r="H133" i="6"/>
  <c r="H134" i="6"/>
  <c r="H135" i="6"/>
  <c r="H136" i="6"/>
  <c r="H137" i="6"/>
  <c r="H138" i="6"/>
  <c r="H139" i="6"/>
  <c r="H140" i="6"/>
  <c r="H141" i="6"/>
  <c r="H142" i="6"/>
  <c r="H143" i="6"/>
  <c r="H144" i="6"/>
  <c r="H145" i="6"/>
  <c r="H146" i="6"/>
  <c r="H147" i="6"/>
  <c r="H148" i="6"/>
  <c r="H149" i="6"/>
  <c r="H150" i="6"/>
  <c r="H151" i="6"/>
  <c r="H152" i="6"/>
  <c r="H153" i="6"/>
  <c r="H154" i="6"/>
  <c r="H155" i="6"/>
  <c r="H156" i="6"/>
  <c r="H157" i="6"/>
  <c r="H158" i="6"/>
  <c r="H159" i="6"/>
  <c r="H160" i="6"/>
  <c r="H161" i="6"/>
  <c r="H162" i="6"/>
  <c r="S3" i="8" l="1" a="1"/>
  <c r="S3" i="8" s="1"/>
  <c r="G2" i="6"/>
  <c r="G3" i="6"/>
  <c r="G4" i="6"/>
  <c r="G5" i="6"/>
  <c r="G6" i="6"/>
  <c r="G7" i="6"/>
  <c r="G8" i="6"/>
  <c r="G9" i="6"/>
  <c r="G10" i="6"/>
  <c r="G11" i="6"/>
  <c r="G12" i="6"/>
  <c r="G13" i="6"/>
  <c r="G14" i="6"/>
  <c r="G15" i="6"/>
  <c r="G16" i="6"/>
  <c r="G17" i="6"/>
  <c r="G18" i="6"/>
  <c r="G19" i="6"/>
  <c r="G20" i="6"/>
  <c r="G21" i="6"/>
  <c r="G22" i="6"/>
  <c r="G23" i="6"/>
  <c r="G24" i="6"/>
  <c r="G25" i="6"/>
  <c r="G26" i="6"/>
  <c r="G27" i="6"/>
  <c r="G28" i="6"/>
  <c r="G29" i="6"/>
  <c r="G30" i="6"/>
  <c r="G31" i="6"/>
  <c r="G32" i="6"/>
  <c r="G33" i="6"/>
  <c r="G34" i="6"/>
  <c r="G35" i="6"/>
  <c r="G36" i="6"/>
  <c r="G37" i="6"/>
  <c r="G38" i="6"/>
  <c r="G39" i="6"/>
  <c r="G40" i="6"/>
  <c r="G41" i="6"/>
  <c r="G42" i="6"/>
  <c r="G43" i="6"/>
  <c r="G44" i="6"/>
  <c r="G45" i="6"/>
  <c r="G46" i="6"/>
  <c r="G47" i="6"/>
  <c r="G48" i="6"/>
  <c r="G49" i="6"/>
  <c r="G50" i="6"/>
  <c r="G51" i="6"/>
  <c r="G52" i="6"/>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81" i="6"/>
  <c r="G82" i="6"/>
  <c r="G83" i="6"/>
  <c r="G84" i="6"/>
  <c r="G85" i="6"/>
  <c r="G86" i="6"/>
  <c r="G87" i="6"/>
  <c r="G88" i="6"/>
  <c r="G89" i="6"/>
  <c r="G90" i="6"/>
  <c r="G91" i="6"/>
  <c r="G92" i="6"/>
  <c r="G93" i="6"/>
  <c r="G94" i="6"/>
  <c r="G95" i="6"/>
  <c r="G96" i="6"/>
  <c r="G97" i="6"/>
  <c r="G98" i="6"/>
  <c r="G99" i="6"/>
  <c r="G100" i="6"/>
  <c r="G101" i="6"/>
  <c r="G102" i="6"/>
  <c r="G103" i="6"/>
  <c r="G104" i="6"/>
  <c r="G105" i="6"/>
  <c r="G106" i="6"/>
  <c r="G107" i="6"/>
  <c r="G108" i="6"/>
  <c r="G109" i="6"/>
  <c r="G110" i="6"/>
  <c r="G111" i="6"/>
  <c r="G112" i="6"/>
  <c r="G113" i="6"/>
  <c r="G114" i="6"/>
  <c r="G115" i="6"/>
  <c r="G116" i="6"/>
  <c r="G117" i="6"/>
  <c r="G118" i="6"/>
  <c r="G119" i="6"/>
  <c r="G120" i="6"/>
  <c r="G121" i="6"/>
  <c r="G122" i="6"/>
  <c r="G123" i="6"/>
  <c r="G124" i="6"/>
  <c r="G125" i="6"/>
  <c r="G126" i="6"/>
  <c r="G127" i="6"/>
  <c r="G128" i="6"/>
  <c r="G129" i="6"/>
  <c r="G130" i="6"/>
  <c r="G131" i="6"/>
  <c r="G132" i="6"/>
  <c r="G133" i="6"/>
  <c r="G134" i="6"/>
  <c r="G135" i="6"/>
  <c r="G136" i="6"/>
  <c r="G137" i="6"/>
  <c r="G138" i="6"/>
  <c r="G139" i="6"/>
  <c r="G140" i="6"/>
  <c r="G141" i="6"/>
  <c r="G142" i="6"/>
  <c r="G143" i="6"/>
  <c r="G144" i="6"/>
  <c r="G145" i="6"/>
  <c r="G146" i="6"/>
  <c r="G147" i="6"/>
  <c r="G148" i="6"/>
  <c r="G149" i="6"/>
  <c r="G150" i="6"/>
  <c r="G151" i="6"/>
  <c r="G152" i="6"/>
  <c r="G153" i="6"/>
  <c r="G154" i="6"/>
  <c r="G155" i="6"/>
  <c r="G156" i="6"/>
  <c r="G157" i="6"/>
  <c r="G158" i="6"/>
  <c r="G159" i="6"/>
  <c r="G160" i="6"/>
  <c r="G161" i="6"/>
  <c r="G162" i="6"/>
  <c r="C2" i="6"/>
  <c r="C3" i="6"/>
  <c r="C4" i="6"/>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52" i="6"/>
  <c r="C53" i="6"/>
  <c r="C54" i="6"/>
  <c r="C55" i="6"/>
  <c r="C56" i="6"/>
  <c r="C57" i="6"/>
  <c r="C58" i="6"/>
  <c r="C59" i="6"/>
  <c r="C60" i="6"/>
  <c r="C61" i="6"/>
  <c r="C62" i="6"/>
  <c r="C63" i="6"/>
  <c r="C64" i="6"/>
  <c r="C65" i="6"/>
  <c r="C66" i="6"/>
  <c r="C67" i="6"/>
  <c r="C68" i="6"/>
  <c r="C69" i="6"/>
  <c r="C70" i="6"/>
  <c r="C71" i="6"/>
  <c r="AX10" i="12" s="1"/>
  <c r="C72" i="6"/>
  <c r="C73" i="6"/>
  <c r="C74" i="6"/>
  <c r="C75" i="6"/>
  <c r="C76" i="6"/>
  <c r="C77" i="6"/>
  <c r="C78" i="6"/>
  <c r="C79" i="6"/>
  <c r="C80" i="6"/>
  <c r="C81" i="6"/>
  <c r="C82" i="6"/>
  <c r="C83" i="6"/>
  <c r="C84" i="6"/>
  <c r="C85" i="6"/>
  <c r="C86" i="6"/>
  <c r="C87" i="6"/>
  <c r="C88" i="6"/>
  <c r="C89" i="6"/>
  <c r="C90" i="6"/>
  <c r="C91" i="6"/>
  <c r="C92" i="6"/>
  <c r="C93" i="6"/>
  <c r="C94" i="6"/>
  <c r="C95" i="6"/>
  <c r="C96" i="6"/>
  <c r="C97" i="6"/>
  <c r="C98" i="6"/>
  <c r="C99" i="6"/>
  <c r="C100" i="6"/>
  <c r="C101" i="6"/>
  <c r="C102" i="6"/>
  <c r="C103" i="6"/>
  <c r="C104" i="6"/>
  <c r="C105" i="6"/>
  <c r="C106" i="6"/>
  <c r="C107" i="6"/>
  <c r="C108" i="6"/>
  <c r="C109" i="6"/>
  <c r="C110" i="6"/>
  <c r="C111" i="6"/>
  <c r="C112" i="6"/>
  <c r="C113" i="6"/>
  <c r="C114" i="6"/>
  <c r="C115" i="6"/>
  <c r="C116" i="6"/>
  <c r="C117" i="6"/>
  <c r="C118" i="6"/>
  <c r="C119" i="6"/>
  <c r="AX12" i="12" s="1"/>
  <c r="C120" i="6"/>
  <c r="C121" i="6"/>
  <c r="C122" i="6"/>
  <c r="C123" i="6"/>
  <c r="C124" i="6"/>
  <c r="C125" i="6"/>
  <c r="C126" i="6"/>
  <c r="C127" i="6"/>
  <c r="C128" i="6"/>
  <c r="C129" i="6"/>
  <c r="C130" i="6"/>
  <c r="C131" i="6"/>
  <c r="C132" i="6"/>
  <c r="C133" i="6"/>
  <c r="C134" i="6"/>
  <c r="C135" i="6"/>
  <c r="C136" i="6"/>
  <c r="C137" i="6"/>
  <c r="C138" i="6"/>
  <c r="C139" i="6"/>
  <c r="C140" i="6"/>
  <c r="C141" i="6"/>
  <c r="C142" i="6"/>
  <c r="C143" i="6"/>
  <c r="C144" i="6"/>
  <c r="C145" i="6"/>
  <c r="C146" i="6"/>
  <c r="C147" i="6"/>
  <c r="C148" i="6"/>
  <c r="C149" i="6"/>
  <c r="C150" i="6"/>
  <c r="C151" i="6"/>
  <c r="C152" i="6"/>
  <c r="C153" i="6"/>
  <c r="C154" i="6"/>
  <c r="C155" i="6"/>
  <c r="C156" i="6"/>
  <c r="C157" i="6"/>
  <c r="C158" i="6"/>
  <c r="C159" i="6"/>
  <c r="C160" i="6"/>
  <c r="C161" i="6"/>
  <c r="C162" i="6"/>
  <c r="AX15" i="12" l="1"/>
  <c r="AX5" i="12"/>
  <c r="AX17" i="12"/>
  <c r="AX7" i="12"/>
  <c r="AX13" i="12"/>
  <c r="AY9" i="12"/>
  <c r="AZ9" i="12" s="1"/>
  <c r="AY11" i="12"/>
  <c r="AZ11" i="12" s="1"/>
  <c r="AY14" i="12"/>
  <c r="AZ14" i="12" s="1"/>
  <c r="AY17" i="12"/>
  <c r="AY4" i="12"/>
  <c r="AZ4" i="12" s="1"/>
  <c r="AY15" i="12"/>
  <c r="AY10" i="12"/>
  <c r="AZ10" i="12" s="1"/>
  <c r="AY12" i="12"/>
  <c r="AZ12" i="12" s="1"/>
  <c r="AY8" i="12"/>
  <c r="AZ8" i="12" s="1"/>
  <c r="AY18" i="12"/>
  <c r="AZ18" i="12" s="1"/>
  <c r="AY5" i="12"/>
  <c r="AY16" i="12"/>
  <c r="AZ16" i="12" s="1"/>
  <c r="AY2" i="12"/>
  <c r="AZ2" i="12" s="1"/>
  <c r="AY13" i="12"/>
  <c r="AY3" i="12"/>
  <c r="AZ3" i="12" s="1"/>
  <c r="AY6" i="12"/>
  <c r="AZ6" i="12" s="1"/>
  <c r="AY7" i="12"/>
  <c r="W3" i="8" a="1"/>
  <c r="W3" i="8" s="1"/>
  <c r="AF2" i="12" a="1"/>
  <c r="D168" i="6"/>
  <c r="D163" i="6"/>
  <c r="D164" i="6"/>
  <c r="D166" i="6"/>
  <c r="D165" i="6"/>
  <c r="D167" i="6"/>
  <c r="D111" i="6"/>
  <c r="D118" i="6"/>
  <c r="D110" i="6"/>
  <c r="D102" i="6"/>
  <c r="D94" i="6"/>
  <c r="D86" i="6"/>
  <c r="D78" i="6"/>
  <c r="D70" i="6"/>
  <c r="D62" i="6"/>
  <c r="D54" i="6"/>
  <c r="D46" i="6"/>
  <c r="D38" i="6"/>
  <c r="D30" i="6"/>
  <c r="D22" i="6"/>
  <c r="D14" i="6"/>
  <c r="D6" i="6"/>
  <c r="D151" i="6"/>
  <c r="D119" i="6"/>
  <c r="D79" i="6"/>
  <c r="D55" i="6"/>
  <c r="D39" i="6"/>
  <c r="D134" i="6"/>
  <c r="D125" i="6"/>
  <c r="D85" i="6"/>
  <c r="D61" i="6"/>
  <c r="D37" i="6"/>
  <c r="D29" i="6"/>
  <c r="D21" i="6"/>
  <c r="D13" i="6"/>
  <c r="D5" i="6"/>
  <c r="D159" i="6"/>
  <c r="D127" i="6"/>
  <c r="D87" i="6"/>
  <c r="D47" i="6"/>
  <c r="D7" i="6"/>
  <c r="D126" i="6"/>
  <c r="D133" i="6"/>
  <c r="D93" i="6"/>
  <c r="D53" i="6"/>
  <c r="D140" i="6"/>
  <c r="D124" i="6"/>
  <c r="D108" i="6"/>
  <c r="D92" i="6"/>
  <c r="D76" i="6"/>
  <c r="D60" i="6"/>
  <c r="D44" i="6"/>
  <c r="D28" i="6"/>
  <c r="D12" i="6"/>
  <c r="D31" i="6"/>
  <c r="D158" i="6"/>
  <c r="D157" i="6"/>
  <c r="D117" i="6"/>
  <c r="D77" i="6"/>
  <c r="D156" i="6"/>
  <c r="D148" i="6"/>
  <c r="D132" i="6"/>
  <c r="D116" i="6"/>
  <c r="D100" i="6"/>
  <c r="D84" i="6"/>
  <c r="D68" i="6"/>
  <c r="D52" i="6"/>
  <c r="D36" i="6"/>
  <c r="D20" i="6"/>
  <c r="D4" i="6"/>
  <c r="D155" i="6"/>
  <c r="D147" i="6"/>
  <c r="D139" i="6"/>
  <c r="D131" i="6"/>
  <c r="D123" i="6"/>
  <c r="D115" i="6"/>
  <c r="D107" i="6"/>
  <c r="D99" i="6"/>
  <c r="D91" i="6"/>
  <c r="D83" i="6"/>
  <c r="D75" i="6"/>
  <c r="D67" i="6"/>
  <c r="D59" i="6"/>
  <c r="D51" i="6"/>
  <c r="D43" i="6"/>
  <c r="D35" i="6"/>
  <c r="D27" i="6"/>
  <c r="D19" i="6"/>
  <c r="D11" i="6"/>
  <c r="D3" i="6"/>
  <c r="D34" i="6"/>
  <c r="D26" i="6"/>
  <c r="D18" i="6"/>
  <c r="D10" i="6"/>
  <c r="D2" i="6"/>
  <c r="D143" i="6"/>
  <c r="D95" i="6"/>
  <c r="D63" i="6"/>
  <c r="D23" i="6"/>
  <c r="D142" i="6"/>
  <c r="D141" i="6"/>
  <c r="D101" i="6"/>
  <c r="D69" i="6"/>
  <c r="D154" i="6"/>
  <c r="D138" i="6"/>
  <c r="D130" i="6"/>
  <c r="D106" i="6"/>
  <c r="D90" i="6"/>
  <c r="D74" i="6"/>
  <c r="D161" i="6"/>
  <c r="D153" i="6"/>
  <c r="D137" i="6"/>
  <c r="D129" i="6"/>
  <c r="D121" i="6"/>
  <c r="D113" i="6"/>
  <c r="D105" i="6"/>
  <c r="D97" i="6"/>
  <c r="D89" i="6"/>
  <c r="D81" i="6"/>
  <c r="D73" i="6"/>
  <c r="D65" i="6"/>
  <c r="D57" i="6"/>
  <c r="D49" i="6"/>
  <c r="D41" i="6"/>
  <c r="D33" i="6"/>
  <c r="D25" i="6"/>
  <c r="D17" i="6"/>
  <c r="D9" i="6"/>
  <c r="D135" i="6"/>
  <c r="D103" i="6"/>
  <c r="D71" i="6"/>
  <c r="D15" i="6"/>
  <c r="D150" i="6"/>
  <c r="D149" i="6"/>
  <c r="D109" i="6"/>
  <c r="D45" i="6"/>
  <c r="D162" i="6"/>
  <c r="D146" i="6"/>
  <c r="D122" i="6"/>
  <c r="D114" i="6"/>
  <c r="D98" i="6"/>
  <c r="D82" i="6"/>
  <c r="D66" i="6"/>
  <c r="D58" i="6"/>
  <c r="D50" i="6"/>
  <c r="D42" i="6"/>
  <c r="D145" i="6"/>
  <c r="D160" i="6"/>
  <c r="D152" i="6"/>
  <c r="D144" i="6"/>
  <c r="D136" i="6"/>
  <c r="D128" i="6"/>
  <c r="D120" i="6"/>
  <c r="D112" i="6"/>
  <c r="D104" i="6"/>
  <c r="D96" i="6"/>
  <c r="D88" i="6"/>
  <c r="D80" i="6"/>
  <c r="D72" i="6"/>
  <c r="D64" i="6"/>
  <c r="D56" i="6"/>
  <c r="D48" i="6"/>
  <c r="D40" i="6"/>
  <c r="D32" i="6"/>
  <c r="D24" i="6"/>
  <c r="D16" i="6"/>
  <c r="D8" i="6"/>
  <c r="A3" i="8" a="1"/>
  <c r="A3" i="8" s="1"/>
  <c r="X2" i="12" a="1"/>
  <c r="S2" i="8" a="1"/>
  <c r="S2" i="8" s="1"/>
  <c r="J3" i="8" a="1"/>
  <c r="J3" i="8" s="1"/>
  <c r="M3" i="8" a="1"/>
  <c r="M3" i="8" s="1"/>
  <c r="L3" i="8" a="1"/>
  <c r="L3" i="8" s="1"/>
  <c r="K3" i="8" a="1"/>
  <c r="K3" i="8" s="1"/>
  <c r="AZ5" i="12" l="1"/>
  <c r="AZ15" i="12"/>
  <c r="BS11" i="12"/>
  <c r="BQ9" i="12"/>
  <c r="BP8" i="12"/>
  <c r="BR10" i="12"/>
  <c r="BQ14" i="12"/>
  <c r="BP13" i="12"/>
  <c r="BS16" i="12"/>
  <c r="BR15" i="12"/>
  <c r="AZ13" i="12"/>
  <c r="AZ7" i="12"/>
  <c r="AZ17" i="12"/>
  <c r="BP3" i="12"/>
  <c r="BS6" i="12"/>
  <c r="BQ4" i="12"/>
  <c r="BR5" i="12"/>
  <c r="I2" i="8"/>
  <c r="J2" i="8"/>
  <c r="Z10" i="12"/>
  <c r="Y10" i="12"/>
  <c r="AA10" i="12"/>
  <c r="AF2" i="12"/>
  <c r="AG12" i="12"/>
  <c r="AH11" i="12"/>
  <c r="AI11" i="12"/>
  <c r="AH12" i="12"/>
  <c r="AI12" i="12"/>
  <c r="AG11" i="12"/>
  <c r="I3" i="8" a="1"/>
  <c r="I3" i="8" s="1"/>
  <c r="AA9" i="12"/>
  <c r="Z9" i="12"/>
  <c r="Y9" i="12"/>
  <c r="Y8" i="12"/>
  <c r="AA8" i="12"/>
  <c r="Z8" i="12"/>
  <c r="G2" i="8"/>
  <c r="H2" i="8"/>
  <c r="H3" i="8" a="1"/>
  <c r="H3" i="8" s="1"/>
  <c r="AH10" i="12"/>
  <c r="AI10" i="12"/>
  <c r="AG10" i="12"/>
  <c r="AG9" i="12"/>
  <c r="AH9" i="12"/>
  <c r="AI9" i="12"/>
  <c r="AA7" i="12"/>
  <c r="Z7" i="12"/>
  <c r="Y7" i="12"/>
  <c r="G3" i="8" a="1"/>
  <c r="G3" i="8" s="1"/>
  <c r="AI8" i="12"/>
  <c r="AG8" i="12"/>
  <c r="AH8" i="12"/>
  <c r="F2" i="8"/>
  <c r="F3" i="8" a="1"/>
  <c r="F3" i="8" s="1"/>
  <c r="AA6" i="12"/>
  <c r="Y6" i="12"/>
  <c r="Z6" i="12"/>
  <c r="D2" i="8"/>
  <c r="E2" i="8"/>
  <c r="AA5" i="12"/>
  <c r="Y5" i="12"/>
  <c r="Z5" i="12"/>
  <c r="AG7" i="12"/>
  <c r="AH7" i="12"/>
  <c r="AI7" i="12"/>
  <c r="AG6" i="12"/>
  <c r="AH6" i="12"/>
  <c r="AI6" i="12"/>
  <c r="AI5" i="12"/>
  <c r="AH4" i="12"/>
  <c r="AG4" i="12"/>
  <c r="AH3" i="12"/>
  <c r="AG5" i="12"/>
  <c r="AI4" i="12"/>
  <c r="AH5" i="12"/>
  <c r="AI3" i="12"/>
  <c r="AG3" i="12"/>
  <c r="AA4" i="12"/>
  <c r="Z4" i="12"/>
  <c r="Y4" i="12"/>
  <c r="Y3" i="12"/>
  <c r="Z3" i="12"/>
  <c r="AA3" i="12"/>
  <c r="X2" i="12"/>
  <c r="Y2" i="12" s="1"/>
  <c r="C2" i="8"/>
  <c r="E3" i="8" a="1"/>
  <c r="E3" i="8" s="1"/>
  <c r="D3" i="8" a="1"/>
  <c r="D3" i="8" s="1"/>
  <c r="C3" i="8" a="1"/>
  <c r="C3" i="8" s="1"/>
  <c r="BA2" i="12" l="1"/>
  <c r="BA3" i="12" s="1"/>
  <c r="BB7" i="12" s="1"/>
  <c r="BD7" i="12" s="1"/>
  <c r="AG2" i="12"/>
  <c r="AH2" i="12"/>
  <c r="AI2" i="12"/>
  <c r="AA2" i="12"/>
  <c r="Z2" i="12"/>
  <c r="B3" i="8" a="1"/>
  <c r="B3" i="8" s="1"/>
  <c r="B2" i="8"/>
  <c r="BB2" i="12" l="1"/>
  <c r="BD2" i="12" s="1"/>
  <c r="BB4" i="12"/>
  <c r="BD4" i="12" s="1"/>
  <c r="BB9" i="12"/>
  <c r="BD9" i="12" s="1"/>
  <c r="BB10" i="12"/>
  <c r="BC10" i="12" s="1" a="1"/>
  <c r="BC10" i="12" s="1"/>
  <c r="BB5" i="12"/>
  <c r="BD5" i="12" s="1"/>
  <c r="BB6" i="12"/>
  <c r="BD6" i="12" s="1"/>
  <c r="BB3" i="12"/>
  <c r="BD3" i="12" s="1"/>
  <c r="BB11" i="12"/>
  <c r="BD11" i="12" s="1"/>
  <c r="BB8" i="12"/>
  <c r="BC8" i="12" s="1" a="1"/>
  <c r="BC8" i="12" s="1"/>
  <c r="BC7" i="12" a="1"/>
  <c r="BC7" i="12" s="1"/>
  <c r="BC5" i="12" l="1" a="1"/>
  <c r="BC5" i="12" s="1"/>
  <c r="BC4" i="12" a="1"/>
  <c r="BC4" i="12" s="1"/>
  <c r="BC2" i="12" a="1"/>
  <c r="BC2" i="12" s="1"/>
  <c r="BD8" i="12"/>
  <c r="BD10" i="12"/>
  <c r="BC11" i="12" a="1"/>
  <c r="BC11" i="12" s="1"/>
  <c r="BC3" i="12" a="1"/>
  <c r="BC3" i="12" s="1"/>
  <c r="BC9" i="12" a="1"/>
  <c r="BC9" i="12" s="1"/>
  <c r="BC6" i="12" a="1"/>
  <c r="BC6" i="1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tc={014BD70A-1F6B-483F-8059-60CBC25D149B}</author>
    <author>tc={A479E2E5-CCE9-4DA4-9CB5-CDF259654A92}</author>
  </authors>
  <commentList>
    <comment ref="S1" authorId="0" shapeId="0" xr:uid="{014BD70A-1F6B-483F-8059-60CBC25D149B}">
      <text>
        <t>[Threaded comment]
Your version of Excel allows you to read this threaded comment; however, any edits to it will get removed if the file is opened in a newer version of Excel. Learn more: https://go.microsoft.com/fwlink/?linkid=870924
Comment:
    Customer Centric</t>
      </text>
    </comment>
    <comment ref="AJ1" authorId="1" shapeId="0" xr:uid="{A479E2E5-CCE9-4DA4-9CB5-CDF259654A92}">
      <text>
        <t>[Threaded comment]
Your version of Excel allows you to read this threaded comment; however, any edits to it will get removed if the file is opened in a newer version of Excel. Learn more: https://go.microsoft.com/fwlink/?linkid=870924
Comment:
    Overall Fail Rate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tc={611300F9-25AD-4731-9362-05E130B5878C}</author>
    <author>tc={0AFA5A6B-BF9B-4DFD-A8F0-BE02192F7E37}</author>
  </authors>
  <commentList>
    <comment ref="Y1" authorId="0" shapeId="0" xr:uid="{611300F9-25AD-4731-9362-05E130B5878C}">
      <text>
        <t>[Threaded comment]
Your version of Excel allows you to read this threaded comment; however, any edits to it will get removed if the file is opened in a newer version of Excel. Learn more: https://go.microsoft.com/fwlink/?linkid=870924
Comment:
    Overall</t>
      </text>
    </comment>
    <comment ref="AA1" authorId="1" shapeId="0" xr:uid="{0AFA5A6B-BF9B-4DFD-A8F0-BE02192F7E37}">
      <text>
        <t>[Threaded comment]
Your version of Excel allows you to read this threaded comment; however, any edits to it will get removed if the file is opened in a newer version of Excel. Learn more: https://go.microsoft.com/fwlink/?linkid=870924
Comment:
    Customer Centric</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<sst xmlns="http://schemas.openxmlformats.org/spreadsheetml/2006/main" count="1678" uniqueCount="275">
  <si>
    <t xml:space="preserve">Ticket Type </t>
  </si>
  <si>
    <t>EUI</t>
  </si>
  <si>
    <t xml:space="preserve">Resolved by Scaled TPS independently </t>
  </si>
  <si>
    <t>N/A</t>
  </si>
  <si>
    <t>METAP</t>
  </si>
  <si>
    <t>Accountability &amp; Ownership: Did not provide status update every 1 working day until incident is solved. (P2). Expected Follow Ups.</t>
  </si>
  <si>
    <t xml:space="preserve">NA </t>
  </si>
  <si>
    <t xml:space="preserve">Escalated to Global TPS </t>
  </si>
  <si>
    <t>APAC</t>
  </si>
  <si>
    <t>TPS has done exceptionally well.</t>
  </si>
  <si>
    <t>Accountability &amp; Ownership: - Did not provide status update every 1 working day until incident is solved (P2) - Expected follow ups.</t>
  </si>
  <si>
    <t>Accountability &amp; Ownership: - Did not provide status update every 1 working day until incident is solved.</t>
  </si>
  <si>
    <t>NA</t>
  </si>
  <si>
    <t>Great comms, again slightly above SLA</t>
  </si>
  <si>
    <t>Very good comms and analysis, slightly above SLA</t>
  </si>
  <si>
    <t>Ok ticket</t>
  </si>
  <si>
    <t>Still open, multiple reopens and new questions. Good comms from Rafael</t>
  </si>
  <si>
    <t>Wrong priority, should be P1 with $64K spend, overall correct assumptions on the issue</t>
  </si>
  <si>
    <t>Ray took over ticket for Leandro (as he was OOO). Good comms</t>
  </si>
  <si>
    <t>Long pause between replies with no evident reason, need to share more frequent updates</t>
  </si>
  <si>
    <t>Outside of SLA due to auto-closure, but overall good comms</t>
  </si>
  <si>
    <t>Wrong priority, should be P1 with $67K monthly spend. Other than that, solid comms</t>
  </si>
  <si>
    <t>Great reasoning and explanations, RT outside SLA</t>
  </si>
  <si>
    <t>Good ticket and great example of managing expectations</t>
  </si>
  <si>
    <t>Good ticket, not much to comment</t>
  </si>
  <si>
    <t>Wrong priority (should be P1 with over $20K spend), but good probing questions and very fast escalation and resolution</t>
  </si>
  <si>
    <t>Ticket is still open as of Wed 11/9</t>
  </si>
  <si>
    <t/>
  </si>
  <si>
    <t>Wrong priority but good comms on the ticket</t>
  </si>
  <si>
    <t>Out of scope, escalated to correct channel. Should have closed manually</t>
  </si>
  <si>
    <t>Lengthy resolution, but adrressed all new questions</t>
  </si>
  <si>
    <t>Good ticket. Unable to fix, but redirected to correct process with MI</t>
  </si>
  <si>
    <t>Good ticket</t>
  </si>
  <si>
    <t>Solid ticket. Good job</t>
  </si>
  <si>
    <t>Resolution outside of SLA, yet TPS provided correct information and asked right probing questions</t>
  </si>
  <si>
    <t>Good troubleshooting, might have given more time for the follow up before manually closing</t>
  </si>
  <si>
    <t>Good probing questions and troubleshooting</t>
  </si>
  <si>
    <t>Normal ticket, nothing special</t>
  </si>
  <si>
    <t>Good ticket with relevant explanation. Issue wasn't fixed, but Grant did a good job addressing additional questions</t>
  </si>
  <si>
    <t>Your first answer seems quite generic and doesn't really give a solution to the user. Always try to think, "what do I want the user to do after reading this message?"</t>
  </si>
  <si>
    <t>Another great ticket - profession comms and strong responses that have been well thought.</t>
  </si>
  <si>
    <t>Excellent ticket - Very clear comms, quick FR and follow up.  Very comprehensive first response and product knowledge - which was acknowledged by the escalator.
TPS handle the additional question/issue well.  Nice work!</t>
  </si>
  <si>
    <t>Good ticket, clean and professional comms - backed with Visuals.  Product knowledge looks good. 
Very quick IR and regular follow ups. Feedback:  I see TPS added response as internal note and took a while before sending. But still within SLA  I assume Prakash checked answer with Global TPS?  If so, best to add an internal comment.</t>
  </si>
  <si>
    <t>Quick FR and clean comms.  Polite and professional comms style.  Very fast follow ups.  Good probing of the issue</t>
  </si>
  <si>
    <t>Quick FR and clean comms.  Very fast follow ups.</t>
  </si>
  <si>
    <t>Nice example of Probing questions - TPS did well in trying to get a much information as possible before escalating.  Clear internal comment provide before escalation.
Good product knowledge and situation understanding - did not rush to escalate.</t>
  </si>
  <si>
    <t>Good ticket, Few grammer mistakes but Fast FR and very quick follow ups.  Good Product knowledge and supported answers with commdocs.  TPS provided alternative solutions and maintained postive tone.</t>
  </si>
  <si>
    <t>Ok Ticket - A few grammar mistakes but nothing major.  Emmanual provided the right advice to escalate to MI, however he should have provided the Commdoc to support his answer.
Giving Neutral as the answer was right but could be improved.</t>
  </si>
  <si>
    <t>Great ticket: Professional and polite comms, good use of visuals to back up responses.  Good product knowledge regarding audiences and estimation tool.  Regular follow ups - smooth investigation</t>
  </si>
  <si>
    <t>Good ticket: Super Fast IR and quick follows.  Efficient communication and clear/direct solution and recommendation.  Ticket was not reopened and correct use of Auto-closure.
Feedback - Final comment abit direct but nothing major.</t>
  </si>
  <si>
    <t>TPS to double check responses - Mentioned the TPS name (falls under CX).  Quick responses and Follow ups (within SLA).   Good use of Screenshots to support resolution.</t>
  </si>
  <si>
    <t>Very good comms, quick responses and follow up.  Effective inquiry could have been smoother in this case and TPS should have mentioned app retargeting as part of solution.  Good use of visual and Commdocs for support</t>
  </si>
  <si>
    <t>[Positive Tone]: "Have you even bothered to look at the aforementioned screenshots? With both ad groups, you are essentially hitting your budget every day. Due to the learning period, it didn't meet the budget on the first day."
Reason for Failure: Showcased personal feelings or frustration (as per scaled TPS QA grid)</t>
  </si>
  <si>
    <t>Very nice first response content covering various possible scenarios leading to an efficient resolution. Nicely done.</t>
  </si>
  <si>
    <t>[Accountability &amp; Ownership]:  "I noticed that the client is using a more bottom-of-funnel approach by optimizing for an In-App Event on Purchases."
Reason for Failure: Used language that showcased ownership like "I", as per Scaled TPS-QA Grid.</t>
  </si>
  <si>
    <t>[Grammar &amp; Syntax] - "is it mean the spark ad has not authorized at all during ads running time? Or any other situation?" This grammar can be improved here.</t>
  </si>
  <si>
    <t>Above SLA RT, but good comms and explanations</t>
  </si>
  <si>
    <t>Ticket is still open</t>
  </si>
  <si>
    <t>Great job!</t>
  </si>
  <si>
    <t>Wrong priority (Total Spend From Last 30 Days - 335182.12 MXN ~ 17,329.87 United States Dollar should be P1). Good comms and timeline for closing</t>
  </si>
  <si>
    <t>Good comms, allowed sufficient time for follow up and quickly addressed new questions</t>
  </si>
  <si>
    <t>Wrong priority (with $204K spend should be P1)</t>
  </si>
  <si>
    <t>Known bug with no commitment from RD on the side of resolution. Global TPS linked the issue but kept the ticekt with Scaled TPS</t>
  </si>
  <si>
    <t>Need better probing questions to understand the issue + use of abbreviation list.</t>
  </si>
  <si>
    <t>Wrong priority (with $57K spend should be P1 for GB).</t>
  </si>
  <si>
    <t>Good work</t>
  </si>
  <si>
    <t>Good job in the ticket: from comms to closing</t>
  </si>
  <si>
    <t>Good comms and explanations, missed SLA on resolution time a bit</t>
  </si>
  <si>
    <t>Need more elaborate instructions on steps to change email, confusing info</t>
  </si>
  <si>
    <t>Really solid ticket</t>
  </si>
  <si>
    <t>Good ticket and elaborate explanations</t>
  </si>
  <si>
    <t>Ok ticket, should request screencast from the start. Quick turnaround, but will benefit from providing direct links in the response</t>
  </si>
  <si>
    <t>Requested card for testing and didn't hear back. Ok ticket, nothing special to comment</t>
  </si>
  <si>
    <t>Wrong priority (should be P1 with $16K spend in KZ). RT over SLA. Ok comms on the issue, but need faster turnaround on request to explain the nature of the mistake.</t>
  </si>
  <si>
    <t>Very good work on the ticket, good explanations</t>
  </si>
  <si>
    <t>First response could have been more meaningful. This feels a bit too templated</t>
  </si>
  <si>
    <t>- There were quite a lot of grammar mistakes which made the sentences very difficult to understand. Please use Grammarly or a similar tool to check your grammar and spelling mistakes.
- Your explanation feels unfinished to the requester. You should explain more in detail why they can still see impressions even after they've ended the campaign.</t>
  </si>
  <si>
    <t>The escalation note could have been more detailed</t>
  </si>
  <si>
    <t>I see that you are trying to solve the issue fast, but doing so, you are sacrificing quality. Always check whether you can or can't do something before you answer the question. Even better, if you can send the full answer with your response.</t>
  </si>
  <si>
    <t>In your last note, instead of just sending the screenshot an explanation to the requester would have made her feel more welcomed.</t>
  </si>
  <si>
    <t>Once you rephrase the ticket back to the responder, you can give them the answer with your understanding to avoid back and forth</t>
  </si>
  <si>
    <t>Fahad jumped in to this ticket to help Marta. So I only scored his efforts here.</t>
  </si>
  <si>
    <t>- When you write "communicating on Lark", please also write whom you are communicating with. Otherwise it becomes difficult whether you are informing the requester already or not. 
- The ticket is overdue already and is still not closed. When this happens make sure to prioritize the ticket the next working day and give an update to the requester.</t>
  </si>
  <si>
    <t>You could have highlighted the Overdue invoices, instead of the Unpaid ones to clarify that the issue is with the Overdue ones and not Unpaid ones. It took a few back and forth with the client to get there.</t>
  </si>
  <si>
    <t>Ticket was overdue by almost 4 days. Make sure to write a note to the requester if you cannot resolve the ticket on that day so that the requester at least hears from us once per day.</t>
  </si>
  <si>
    <t>Good example of troubleshooting done on the ticket. The only comment is that according to new Athena prioritization,$1039681.65 30d spend should be considered P0 (initially selected P0 but later changed to P1).</t>
  </si>
  <si>
    <t>Another example of good troubleshooting done in the ticket. Grant addressed all additional questions in the ticket and provided sufficient explanation on lookalike audience matching. Due to ticket being reopened, total RT is slightly above SLA, 49hr.</t>
  </si>
  <si>
    <t>In this ticket it took multiple exchanges to clarify the root cause of the issue and identify correct next steps, but Ray provided adequate support and found resolution.</t>
  </si>
  <si>
    <t>Not much to comment here. Ray did a good job with probing questions and shared that she doesn't see the same issue as client did.</t>
  </si>
  <si>
    <t>Good use of templated responses. RT is a bit over SLA due to use of auto-closer (legitimate use in this case)</t>
  </si>
  <si>
    <t>Ok ticket, correct info provided.</t>
  </si>
  <si>
    <t>Good ticket with efficient escalation notes (Global pushed ticket back to Brianna). Brianna provided recommendations in the first message along with the hypothesis around the issue itself.</t>
  </si>
  <si>
    <t>Good comms and efficient resolution. A bit over SLA due to auto-closing (legitimate use, considering potential new questions from the requester).</t>
  </si>
  <si>
    <t>Jessica provided correct suggestions but failed to address the question about BLS linked to R&amp;F campaign in question, limiting response to generic recommendation</t>
  </si>
  <si>
    <t>This ticket is not a good fit for QA review as it only contains single probing response from Scaled TPS and no follow up from the requester side. Not much to evaluate here</t>
  </si>
  <si>
    <t>Good ticket, effective analysis and clear recommendations</t>
  </si>
  <si>
    <t>RT is slightly above SLA (74 hr). Assistance provided in the ticket helped to resolve the issue and provide suitable explanation</t>
  </si>
  <si>
    <t>Efficient comms and clear recommendations/explanations. Ticket has been reopened (with no follow up after. Resolution is slightly above expected SLA due to ticket being reopened and S TPS allowing time to follow up</t>
  </si>
  <si>
    <t>Great explanation and level of detail in response. Correct assessment of the situation</t>
  </si>
  <si>
    <t>Good ticket. Provided reference to the document explaining limitations.</t>
  </si>
  <si>
    <t>Solid single response ticket. Would be better if provided explanation doc</t>
  </si>
  <si>
    <t>Good use of templates and explanations, fast resolution and allowed time to follow up. 
Wrong priority (with $10 M USD 30d spend, should be P0).</t>
  </si>
  <si>
    <t>Bonnie managed to provide a correct response and help find the solution, but failed to inquire if the account been allowlisted. Ok ticket, but need to consider allowlisting as the possible issue earlier</t>
  </si>
  <si>
    <t>Ok ticket (out of scope)</t>
  </si>
  <si>
    <t>Elijah did provide a recommendation, but failed to address additional questions in requester follow ups. Needs improvement</t>
  </si>
  <si>
    <t>Ok ticket. Need to work on clarity of communication</t>
  </si>
  <si>
    <t>Issue unresolved. Suggested reaching out to Implementation team for case that won't qualify. Need to reallign on comms</t>
  </si>
  <si>
    <t>Ok ticket, but issue is not solved</t>
  </si>
  <si>
    <t>Efficient work on the ticket</t>
  </si>
  <si>
    <t>Issue understanding requesters ask</t>
  </si>
  <si>
    <t>Ok ticket, good comms</t>
  </si>
  <si>
    <t>Good ticket, correct recommendations</t>
  </si>
  <si>
    <t xml:space="preserve">Grammar &amp; Syntax </t>
  </si>
  <si>
    <t>Appropriate communication starter</t>
  </si>
  <si>
    <t xml:space="preserve">Positive Tone
</t>
  </si>
  <si>
    <t xml:space="preserve">Customer Empathy
</t>
  </si>
  <si>
    <t>Understand the Issue</t>
  </si>
  <si>
    <t>Accountability &amp; Ownership</t>
  </si>
  <si>
    <t>First Response Timeline</t>
  </si>
  <si>
    <t>Quality of First Response</t>
  </si>
  <si>
    <t>Priority Level</t>
  </si>
  <si>
    <t>Ticket Type</t>
  </si>
  <si>
    <t>Product Information</t>
  </si>
  <si>
    <t>Effective Inquiry</t>
  </si>
  <si>
    <t>XFN Escalation process</t>
  </si>
  <si>
    <t>Solution Acceptability</t>
  </si>
  <si>
    <t>Ticket Closure</t>
  </si>
  <si>
    <t>Resolution time</t>
  </si>
  <si>
    <t xml:space="preserve">Effective escalation </t>
  </si>
  <si>
    <t>Qualitative Feedback (QA)</t>
  </si>
  <si>
    <t>Qualitative Feedback (Leads)</t>
  </si>
  <si>
    <t>Date of the Ticket for Review</t>
  </si>
  <si>
    <t>Week</t>
  </si>
  <si>
    <t>Product Pillar</t>
  </si>
  <si>
    <t>Agent Name</t>
  </si>
  <si>
    <t>Region</t>
  </si>
  <si>
    <t>Ticket ID</t>
  </si>
  <si>
    <t>Month</t>
  </si>
  <si>
    <t>May</t>
  </si>
  <si>
    <t xml:space="preserve">Product Pillar </t>
  </si>
  <si>
    <t>Measurement</t>
  </si>
  <si>
    <t>Platforms &amp; API</t>
  </si>
  <si>
    <t>Performance &amp; Delivery</t>
  </si>
  <si>
    <t>Native Branding Ads</t>
  </si>
  <si>
    <t>TPS Name</t>
  </si>
  <si>
    <t>Oka Anazodo</t>
  </si>
  <si>
    <t>Tomasz Bulawa</t>
  </si>
  <si>
    <t>Emmanuel Ehiman</t>
  </si>
  <si>
    <t>Syed Muhammad Fahad Ismail</t>
  </si>
  <si>
    <t>Prakash Reddy</t>
  </si>
  <si>
    <t>Agnes Tang</t>
  </si>
  <si>
    <t>Zubair Amini</t>
  </si>
  <si>
    <t xml:space="preserve">Jiao Ni (Annie)
</t>
  </si>
  <si>
    <t>Nuraini Hassan</t>
  </si>
  <si>
    <t>Tran Thi Thao Trinh (Liz)</t>
  </si>
  <si>
    <t>Angelina Voon Suk Yung</t>
  </si>
  <si>
    <t>Aldrin Sneha Priyanka</t>
  </si>
  <si>
    <t>Kshitij Srivastava</t>
  </si>
  <si>
    <t>Islam Ghiboub</t>
  </si>
  <si>
    <t>Rupesh Vaswani</t>
  </si>
  <si>
    <t>Grant Gundersen</t>
  </si>
  <si>
    <t>Ray Jones</t>
  </si>
  <si>
    <t>Rola Aziz</t>
  </si>
  <si>
    <t>Nadia Ahmed</t>
  </si>
  <si>
    <t>Brianna Arrighi</t>
  </si>
  <si>
    <t>Jessica Hernandez</t>
  </si>
  <si>
    <t>Eduardo Villa</t>
  </si>
  <si>
    <t>Carolina Gonzalez</t>
  </si>
  <si>
    <t>Samantha Rodriguez</t>
  </si>
  <si>
    <t>Deniece Inda</t>
  </si>
  <si>
    <t>Bonnie Williams</t>
  </si>
  <si>
    <t>Elijah Cummings</t>
  </si>
  <si>
    <t>Leandro Morais</t>
  </si>
  <si>
    <t>Rafael Cardoso</t>
  </si>
  <si>
    <t>Sithu Hein</t>
  </si>
  <si>
    <t>Product</t>
  </si>
  <si>
    <t>Custom</t>
  </si>
  <si>
    <t>Row Labels</t>
  </si>
  <si>
    <t>Grand Total</t>
  </si>
  <si>
    <t>All Months</t>
  </si>
  <si>
    <t>All Weeks</t>
  </si>
  <si>
    <t></t>
  </si>
  <si>
    <t>P</t>
  </si>
  <si>
    <t>F</t>
  </si>
  <si>
    <t>(All)</t>
  </si>
  <si>
    <t>Attribute</t>
  </si>
  <si>
    <t>Business</t>
  </si>
  <si>
    <t>Compliance</t>
  </si>
  <si>
    <t>All Products</t>
  </si>
  <si>
    <t>Fail</t>
  </si>
  <si>
    <t>Compliance Critical PF</t>
  </si>
  <si>
    <t>Business Critical PF</t>
  </si>
  <si>
    <t>Attribute Fail Rate PF</t>
  </si>
  <si>
    <t>Attribute Fail Rate</t>
  </si>
  <si>
    <t>Compliance Critical</t>
  </si>
  <si>
    <t>Business Critical</t>
  </si>
  <si>
    <t>Count of Attribute Fail Rate PF</t>
  </si>
  <si>
    <t>Count of Business Critical PF</t>
  </si>
  <si>
    <t>Count of Compliance Critical PF</t>
  </si>
  <si>
    <t>Count of Attribute Fail Rate</t>
  </si>
  <si>
    <t>Neutral</t>
  </si>
  <si>
    <t>Overall</t>
  </si>
  <si>
    <t>increase dropdown font</t>
  </si>
  <si>
    <t>Last 3 Weeks</t>
  </si>
  <si>
    <t>(Multiple Items)</t>
  </si>
  <si>
    <t>#N/A</t>
  </si>
  <si>
    <t>Compliance Critical F</t>
  </si>
  <si>
    <t>Attribute Fail Rate F</t>
  </si>
  <si>
    <t>Business Critical F</t>
  </si>
  <si>
    <t>Overall Fail Rate %</t>
  </si>
  <si>
    <t>Business Critical %</t>
  </si>
  <si>
    <t>Audit Counts</t>
  </si>
  <si>
    <t>Customer Centric %</t>
  </si>
  <si>
    <t>Count</t>
  </si>
  <si>
    <t>Failed Ticket ID</t>
  </si>
  <si>
    <t>Agnes Tang Total</t>
  </si>
  <si>
    <t>Aldrin Sneha Priyanka Total</t>
  </si>
  <si>
    <t>Angelina Voon Suk Yung Total</t>
  </si>
  <si>
    <t>Bonnie Williams Total</t>
  </si>
  <si>
    <t>Brianna Arrighi Total</t>
  </si>
  <si>
    <t>Carolina Gonzalez Total</t>
  </si>
  <si>
    <t>Deniece Inda Total</t>
  </si>
  <si>
    <t>Eduardo Villa Total</t>
  </si>
  <si>
    <t>Elijah Cummings Total</t>
  </si>
  <si>
    <t>Emmanuel Ehiman Total</t>
  </si>
  <si>
    <t>Grant Gundersen Total</t>
  </si>
  <si>
    <t>Islam Ghiboub Total</t>
  </si>
  <si>
    <t>Jessica Hernandez Total</t>
  </si>
  <si>
    <t>Jiao Ni (Annie)
 Total</t>
  </si>
  <si>
    <t>Leandro Morais Total</t>
  </si>
  <si>
    <t>Nadia Ahmed Total</t>
  </si>
  <si>
    <t>Nuraini Hassan Total</t>
  </si>
  <si>
    <t>Oka Anazodo Total</t>
  </si>
  <si>
    <t>Prakash Reddy Total</t>
  </si>
  <si>
    <t>Rafael Cardoso Total</t>
  </si>
  <si>
    <t>Ray Jones Total</t>
  </si>
  <si>
    <t>Rupesh Vaswani Total</t>
  </si>
  <si>
    <t>Samantha Rodriguez Total</t>
  </si>
  <si>
    <t>Sithu Hein Total</t>
  </si>
  <si>
    <t>Syed Muhammad Fahad Ismail Total</t>
  </si>
  <si>
    <t>Tomasz Bulawa Total</t>
  </si>
  <si>
    <t>Tran Thi Thao Trinh (Liz) Total</t>
  </si>
  <si>
    <t>#N/A Total</t>
  </si>
  <si>
    <t>Failed Attributes</t>
  </si>
  <si>
    <t>Failed Attribute Compliance</t>
  </si>
  <si>
    <t>Jan</t>
  </si>
  <si>
    <t>Feb</t>
  </si>
  <si>
    <t>Mar</t>
  </si>
  <si>
    <t>Apr</t>
  </si>
  <si>
    <t>Jun</t>
  </si>
  <si>
    <t>Jul</t>
  </si>
  <si>
    <t>Aug</t>
  </si>
  <si>
    <t>Sep</t>
  </si>
  <si>
    <t>Oct</t>
  </si>
  <si>
    <t>Nov</t>
  </si>
  <si>
    <t>Dec</t>
  </si>
  <si>
    <t>All Regions</t>
  </si>
  <si>
    <t>Target</t>
  </si>
  <si>
    <t>Thick</t>
  </si>
  <si>
    <t># of Fails</t>
  </si>
  <si>
    <t>Fail %</t>
  </si>
  <si>
    <t>Customer Empathy</t>
  </si>
  <si>
    <t>Agent</t>
  </si>
  <si>
    <t>Top</t>
  </si>
  <si>
    <t>#</t>
  </si>
  <si>
    <t>(blank)</t>
  </si>
  <si>
    <t>(blank) Total</t>
  </si>
  <si>
    <t>All Agents</t>
  </si>
  <si>
    <t>Positive Tone</t>
  </si>
  <si>
    <t># of Audits</t>
  </si>
  <si>
    <t>Column Labels</t>
  </si>
  <si>
    <t>Values</t>
  </si>
  <si>
    <t xml:space="preserve"> </t>
  </si>
  <si>
    <t>NOTE</t>
  </si>
  <si>
    <r>
      <t xml:space="preserve">This graph was designed specifically for </t>
    </r>
    <r>
      <rPr>
        <sz val="11"/>
        <color rgb="FFFF0000"/>
        <rFont val="Calibri"/>
        <family val="2"/>
        <scheme val="minor"/>
      </rPr>
      <t>4 Regions</t>
    </r>
    <r>
      <rPr>
        <sz val="11"/>
        <color theme="1"/>
        <rFont val="Calibri"/>
        <family val="2"/>
        <scheme val="minor"/>
      </rPr>
      <t xml:space="preserve">.
</t>
    </r>
    <r>
      <rPr>
        <b/>
        <u/>
        <sz val="11"/>
        <color theme="1"/>
        <rFont val="Calibri"/>
        <family val="2"/>
        <scheme val="minor"/>
      </rPr>
      <t>If more than 4 regions will be added</t>
    </r>
    <r>
      <rPr>
        <sz val="11"/>
        <color theme="1"/>
        <rFont val="Calibri"/>
        <family val="2"/>
        <scheme val="minor"/>
      </rPr>
      <t xml:space="preserve"> to the data set, some minor changes have to be made to accommodate for the new number of regions.
I can create a quick video of how to add more than 4 regions to the chart.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</si>
</sst>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409]d\-mmm\-yy;@"/>
    <numFmt numFmtId="165" formatCode="0.0%"/>
  </numFmts>
  <fonts count="16" x14ac:knownFonts="1">
    <font>
      <sz val="11"/>
      <color theme="1"/>
      <name val="Calibri"/>
      <family val="2"/>
      <scheme val="minor"/>
    </font>
    <font>
      <sz val="11"/>
      <color theme="1"/>
      <name val="Calibri"/>
      <family val="2"/>
    </font>
    <font>
      <b/>
      <sz val="11"/>
      <name val="Calibri"/>
      <family val="2"/>
      <scheme val="minor"/>
    </font>
    <font>
      <sz val="8"/>
      <name val="Calibri"/>
      <family val="2"/>
      <scheme val="minor"/>
    </font>
    <font>
      <b/>
      <sz val="36"/>
      <name val="Abadi"/>
      <family val="2"/>
    </font>
    <font>
      <sz val="18"/>
      <color theme="1"/>
      <name val="Abadi"/>
      <family val="2"/>
    </font>
    <font>
      <b/>
      <sz val="11"/>
      <color rgb="FFFFFFFF"/>
      <name val="Calibri"/>
      <family val="2"/>
      <scheme val="minor"/>
    </font>
    <font>
      <sz val="11"/>
      <color theme="1"/>
      <name val="Calibri"/>
      <family val="2"/>
      <scheme val="minor"/>
    </font>
    <font>
      <sz val="11"/>
      <color theme="0" tint="-0.499984740745262"/>
      <name val="Wingdings 3"/>
      <family val="1"/>
      <charset val="2"/>
    </font>
    <font>
      <b/>
      <sz val="11"/>
      <color theme="1"/>
      <name val="Calibri"/>
      <family val="2"/>
      <scheme val="minor"/>
    </font>
    <font>
      <sz val="16"/>
      <color theme="1"/>
      <name val="Abadi"/>
      <family val="2"/>
    </font>
    <font>
      <sz val="20"/>
      <color theme="1"/>
      <name val="Abadi"/>
      <family val="2"/>
    </font>
    <font>
      <sz val="11"/>
      <color rgb="FF001E00"/>
      <name val="Arial"/>
      <family val="2"/>
    </font>
    <font>
      <sz val="11"/>
      <color rgb="FFFF0000"/>
      <name val="Calibri"/>
      <family val="2"/>
      <scheme val="minor"/>
    </font>
    <font>
      <b/>
      <u/>
      <sz val="11"/>
      <color theme="1"/>
      <name val="Calibri"/>
      <family val="2"/>
      <scheme val="minor"/>
    </font>
    <font>
      <b/>
      <sz val="12"/>
      <color rgb="FFFF0000"/>
      <name val="Calibri"/>
      <family val="2"/>
      <scheme val="minor"/>
    </font>
  </fonts>
  <fills count="14">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7" tint="0.39997558519241921"/>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rgb="FF000000"/>
        <bgColor indexed="64"/>
      </patternFill>
    </fill>
    <fill>
      <patternFill patternType="solid">
        <fgColor theme="2"/>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theme="8" tint="0.59999389629810485"/>
        <bgColor indexed="64"/>
      </patternFill>
    </fill>
    <fill>
      <patternFill patternType="solid">
        <fgColor theme="0" tint="-0.14999847407452621"/>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s>
  <cellStyleXfs count="2">
    <xf numFmtId="0" fontId="0" fillId="0" borderId="0"/>
    <xf numFmtId="9" fontId="7" fillId="0" borderId="0" applyFont="0" applyFill="0" applyBorder="0" applyAlignment="0" applyProtection="0"/>
  </cellStyleXfs>
  <cellXfs count="123">
    <xf numFmtId="0" fontId="0" fillId="0" borderId="0" xfId="0"/>
    <xf numFmtId="0" fontId="0" fillId="0" borderId="1" xfId="0" applyBorder="1" applyAlignment="1">
      <alignment horizontal="center"/>
    </xf>
    <xf numFmtId="0" fontId="1" fillId="0" borderId="1" xfId="0" applyFont="1" applyBorder="1" applyAlignment="1">
      <alignment horizontal="center"/>
    </xf>
    <xf numFmtId="0" fontId="0" fillId="0" borderId="1" xfId="0" applyBorder="1" applyAlignment="1">
      <alignment horizontal="center" wrapText="1"/>
    </xf>
    <xf numFmtId="0" fontId="1" fillId="0" borderId="1" xfId="0" applyFont="1" applyBorder="1" applyAlignment="1">
      <alignment horizontal="center" wrapText="1"/>
    </xf>
    <xf numFmtId="0" fontId="0" fillId="0" borderId="1" xfId="0" applyBorder="1" applyAlignment="1">
      <alignment horizontal="left"/>
    </xf>
    <xf numFmtId="0" fontId="1" fillId="0" borderId="1" xfId="0" applyFont="1" applyBorder="1" applyAlignment="1">
      <alignment horizontal="left"/>
    </xf>
    <xf numFmtId="0" fontId="0" fillId="0" borderId="1" xfId="0" applyBorder="1" applyAlignment="1">
      <alignment horizontal="left" wrapText="1"/>
    </xf>
    <xf numFmtId="0" fontId="0" fillId="0" borderId="1" xfId="0" applyNumberFormat="1" applyBorder="1" applyAlignment="1">
      <alignment horizontal="center"/>
    </xf>
    <xf numFmtId="0" fontId="1" fillId="0" borderId="1" xfId="0" applyNumberFormat="1" applyFont="1" applyBorder="1" applyAlignment="1">
      <alignment horizontal="center"/>
    </xf>
    <xf numFmtId="164" fontId="0" fillId="0" borderId="1" xfId="0" applyNumberFormat="1" applyBorder="1" applyAlignment="1">
      <alignment horizontal="center"/>
    </xf>
    <xf numFmtId="164" fontId="1" fillId="0" borderId="1" xfId="0" applyNumberFormat="1" applyFont="1" applyBorder="1" applyAlignment="1">
      <alignment horizontal="center"/>
    </xf>
    <xf numFmtId="49" fontId="0" fillId="0" borderId="0" xfId="0" applyNumberFormat="1"/>
    <xf numFmtId="0" fontId="1" fillId="2" borderId="1" xfId="0" applyNumberFormat="1" applyFont="1" applyFill="1" applyBorder="1" applyAlignment="1">
      <alignment horizontal="center"/>
    </xf>
    <xf numFmtId="0" fontId="2" fillId="3" borderId="2" xfId="0" applyFont="1" applyFill="1" applyBorder="1" applyAlignment="1">
      <alignment wrapText="1"/>
    </xf>
    <xf numFmtId="0" fontId="2" fillId="3" borderId="2" xfId="0" applyFont="1" applyFill="1" applyBorder="1" applyAlignment="1">
      <alignment horizontal="left" wrapText="1"/>
    </xf>
    <xf numFmtId="0" fontId="2" fillId="4" borderId="2" xfId="0" applyFont="1" applyFill="1" applyBorder="1" applyAlignment="1">
      <alignment wrapText="1"/>
    </xf>
    <xf numFmtId="0" fontId="2" fillId="4" borderId="2" xfId="0" applyFont="1" applyFill="1" applyBorder="1"/>
    <xf numFmtId="0" fontId="2" fillId="4" borderId="2" xfId="0" applyFont="1" applyFill="1" applyBorder="1" applyAlignment="1">
      <alignment horizontal="left" wrapText="1"/>
    </xf>
    <xf numFmtId="0" fontId="2" fillId="5" borderId="3" xfId="0" applyFont="1" applyFill="1" applyBorder="1"/>
    <xf numFmtId="0" fontId="2" fillId="5" borderId="2" xfId="0" applyFont="1" applyFill="1" applyBorder="1"/>
    <xf numFmtId="0" fontId="2" fillId="5" borderId="2" xfId="0" applyFont="1" applyFill="1" applyBorder="1" applyAlignment="1">
      <alignment wrapText="1"/>
    </xf>
    <xf numFmtId="0" fontId="0" fillId="0" borderId="0" xfId="0" applyAlignment="1">
      <alignment horizontal="center"/>
    </xf>
    <xf numFmtId="0" fontId="0" fillId="0" borderId="0" xfId="0" applyAlignment="1">
      <alignment vertical="center"/>
    </xf>
    <xf numFmtId="0" fontId="4" fillId="0" borderId="0" xfId="0" applyFont="1" applyFill="1" applyAlignment="1">
      <alignment vertical="center"/>
    </xf>
    <xf numFmtId="0" fontId="0" fillId="0" borderId="0" xfId="0" applyAlignment="1">
      <alignment horizontal="center" vertical="center"/>
    </xf>
    <xf numFmtId="0" fontId="6" fillId="7" borderId="0" xfId="0" applyFont="1" applyFill="1" applyAlignment="1">
      <alignment horizontal="center" vertical="center"/>
    </xf>
    <xf numFmtId="0" fontId="0" fillId="0" borderId="0" xfId="0" applyFill="1" applyAlignment="1">
      <alignment horizontal="center" vertical="center"/>
    </xf>
    <xf numFmtId="0" fontId="0" fillId="0" borderId="0" xfId="0" applyNumberFormat="1" applyAlignment="1">
      <alignment horizontal="center" vertical="center"/>
    </xf>
    <xf numFmtId="0" fontId="2" fillId="5" borderId="2" xfId="0" applyFont="1" applyFill="1" applyBorder="1" applyAlignment="1">
      <alignment horizontal="center"/>
    </xf>
    <xf numFmtId="0" fontId="2" fillId="6" borderId="0" xfId="0" applyFont="1" applyFill="1" applyBorder="1" applyAlignment="1">
      <alignment horizontal="center"/>
    </xf>
    <xf numFmtId="0" fontId="0" fillId="0" borderId="0" xfId="0" applyFont="1" applyBorder="1" applyAlignment="1">
      <alignment horizontal="center"/>
    </xf>
    <xf numFmtId="0" fontId="0" fillId="0" borderId="0" xfId="0" pivotButton="1"/>
    <xf numFmtId="165" fontId="0" fillId="0" borderId="0" xfId="0" applyNumberFormat="1" applyAlignment="1">
      <alignment horizontal="center"/>
    </xf>
    <xf numFmtId="9" fontId="0" fillId="0" borderId="0" xfId="0" applyNumberFormat="1" applyAlignment="1">
      <alignment horizontal="center" vertical="center"/>
    </xf>
    <xf numFmtId="9" fontId="0" fillId="0" borderId="0" xfId="1" applyFont="1" applyAlignment="1">
      <alignment horizontal="center" vertical="center"/>
    </xf>
    <xf numFmtId="0" fontId="8" fillId="8" borderId="0" xfId="0" applyFont="1" applyFill="1" applyAlignment="1">
      <alignment horizontal="left" vertical="center"/>
    </xf>
    <xf numFmtId="0" fontId="5" fillId="8" borderId="0" xfId="0" applyFont="1" applyFill="1" applyAlignment="1">
      <alignment horizontal="center" vertical="center"/>
    </xf>
    <xf numFmtId="0" fontId="0" fillId="0" borderId="0" xfId="0" applyAlignment="1">
      <alignment horizontal="left"/>
    </xf>
    <xf numFmtId="9" fontId="0" fillId="0" borderId="0" xfId="0" applyNumberFormat="1" applyAlignment="1">
      <alignment horizontal="center"/>
    </xf>
    <xf numFmtId="9" fontId="0" fillId="0" borderId="1" xfId="0" applyNumberFormat="1" applyBorder="1" applyAlignment="1">
      <alignment horizontal="center"/>
    </xf>
    <xf numFmtId="0" fontId="0" fillId="0" borderId="6" xfId="0" applyBorder="1" applyAlignment="1">
      <alignment horizontal="center"/>
    </xf>
    <xf numFmtId="9" fontId="0" fillId="0" borderId="6" xfId="0" applyNumberFormat="1" applyBorder="1" applyAlignment="1">
      <alignment horizontal="center"/>
    </xf>
    <xf numFmtId="0" fontId="9" fillId="10" borderId="7" xfId="0" applyFont="1" applyFill="1" applyBorder="1" applyAlignment="1">
      <alignment horizontal="center"/>
    </xf>
    <xf numFmtId="0" fontId="9" fillId="10" borderId="8" xfId="0" applyFont="1" applyFill="1" applyBorder="1" applyAlignment="1">
      <alignment horizontal="center"/>
    </xf>
    <xf numFmtId="0" fontId="9" fillId="10" borderId="9" xfId="0" applyFont="1" applyFill="1" applyBorder="1" applyAlignment="1">
      <alignment horizontal="center"/>
    </xf>
    <xf numFmtId="0" fontId="9" fillId="11" borderId="5" xfId="0" applyFont="1" applyFill="1" applyBorder="1" applyAlignment="1">
      <alignment horizontal="center"/>
    </xf>
    <xf numFmtId="0" fontId="0" fillId="0" borderId="0" xfId="0" applyFill="1"/>
    <xf numFmtId="0" fontId="0" fillId="0" borderId="1" xfId="0" applyBorder="1"/>
    <xf numFmtId="0" fontId="0" fillId="0" borderId="10" xfId="0" applyBorder="1"/>
    <xf numFmtId="0" fontId="0" fillId="0" borderId="3" xfId="0" applyBorder="1"/>
    <xf numFmtId="0" fontId="0" fillId="0" borderId="11" xfId="0" applyBorder="1"/>
    <xf numFmtId="0" fontId="11" fillId="0" borderId="3" xfId="0" applyFont="1" applyBorder="1" applyAlignment="1">
      <alignment horizontal="center"/>
    </xf>
    <xf numFmtId="0" fontId="8" fillId="0" borderId="0" xfId="0" applyFont="1" applyFill="1" applyAlignment="1">
      <alignment horizontal="left" vertical="center"/>
    </xf>
    <xf numFmtId="0" fontId="0" fillId="0" borderId="0" xfId="0"/>
    <xf numFmtId="0" fontId="5" fillId="0" borderId="0" xfId="0" applyFont="1" applyFill="1" applyAlignment="1">
      <alignment horizontal="center" vertical="center"/>
    </xf>
    <xf numFmtId="0" fontId="2" fillId="4" borderId="4" xfId="0" applyFont="1" applyFill="1" applyBorder="1" applyAlignment="1">
      <alignment horizontal="center" vertical="center" wrapText="1"/>
    </xf>
    <xf numFmtId="0" fontId="2" fillId="9" borderId="2" xfId="0" applyFont="1" applyFill="1" applyBorder="1" applyAlignment="1">
      <alignment horizontal="center" vertical="center" wrapText="1"/>
    </xf>
    <xf numFmtId="0" fontId="2" fillId="3" borderId="2" xfId="0" applyFont="1" applyFill="1" applyBorder="1" applyAlignment="1">
      <alignment horizontal="center" vertical="center" wrapText="1"/>
    </xf>
    <xf numFmtId="0" fontId="0" fillId="0" borderId="0" xfId="0"/>
    <xf numFmtId="0" fontId="11" fillId="0" borderId="0" xfId="0" applyFont="1" applyFill="1" applyBorder="1" applyAlignment="1">
      <alignment horizontal="center"/>
    </xf>
    <xf numFmtId="0" fontId="10" fillId="0" borderId="0" xfId="0" applyFont="1" applyFill="1" applyBorder="1" applyAlignment="1">
      <alignment horizontal="center"/>
    </xf>
    <xf numFmtId="0" fontId="0" fillId="0" borderId="0" xfId="0" applyFont="1" applyFill="1" applyBorder="1" applyAlignment="1">
      <alignment horizontal="center"/>
    </xf>
    <xf numFmtId="0" fontId="0" fillId="0" borderId="0" xfId="0" applyFill="1" applyBorder="1"/>
    <xf numFmtId="0" fontId="0" fillId="0" borderId="0" xfId="0" pivotButton="1" applyAlignment="1">
      <alignment horizontal="center"/>
    </xf>
    <xf numFmtId="0" fontId="12" fillId="0" borderId="0" xfId="0" applyFont="1" applyAlignment="1">
      <alignment vertical="center"/>
    </xf>
    <xf numFmtId="0" fontId="0" fillId="0" borderId="0" xfId="0" applyAlignment="1"/>
    <xf numFmtId="0" fontId="0" fillId="0" borderId="0" xfId="0" applyNumberFormat="1" applyAlignment="1">
      <alignment horizontal="center"/>
    </xf>
    <xf numFmtId="9" fontId="10" fillId="0" borderId="0" xfId="1" applyFont="1" applyFill="1" applyBorder="1" applyAlignment="1">
      <alignment horizontal="center"/>
    </xf>
    <xf numFmtId="0" fontId="11" fillId="0" borderId="0" xfId="0" applyFont="1" applyFill="1" applyBorder="1" applyAlignment="1">
      <alignment horizontal="center"/>
    </xf>
    <xf numFmtId="0" fontId="0" fillId="0" borderId="0" xfId="0" applyFill="1" applyBorder="1"/>
    <xf numFmtId="0" fontId="1" fillId="0" borderId="2" xfId="0" applyNumberFormat="1" applyFont="1" applyBorder="1" applyAlignment="1">
      <alignment horizontal="center"/>
    </xf>
    <xf numFmtId="164" fontId="1" fillId="0" borderId="2" xfId="0" applyNumberFormat="1" applyFont="1" applyBorder="1" applyAlignment="1">
      <alignment horizontal="center"/>
    </xf>
    <xf numFmtId="0" fontId="1" fillId="0" borderId="2" xfId="0" applyFont="1" applyBorder="1" applyAlignment="1">
      <alignment horizontal="center"/>
    </xf>
    <xf numFmtId="0" fontId="1" fillId="0" borderId="2" xfId="0" applyFont="1" applyBorder="1" applyAlignment="1">
      <alignment horizontal="center" wrapText="1"/>
    </xf>
    <xf numFmtId="0" fontId="1" fillId="0" borderId="2" xfId="0" applyFont="1" applyBorder="1" applyAlignment="1">
      <alignment horizontal="left"/>
    </xf>
    <xf numFmtId="0" fontId="1" fillId="0" borderId="2" xfId="0" applyNumberFormat="1" applyFont="1" applyBorder="1" applyAlignment="1">
      <alignment horizontal="left"/>
    </xf>
    <xf numFmtId="0" fontId="0" fillId="0" borderId="2" xfId="0" applyNumberFormat="1" applyBorder="1" applyAlignment="1">
      <alignment horizontal="left" wrapText="1"/>
    </xf>
    <xf numFmtId="0" fontId="9" fillId="12" borderId="1" xfId="0" applyFont="1" applyFill="1" applyBorder="1" applyAlignment="1">
      <alignment horizontal="center"/>
    </xf>
    <xf numFmtId="165" fontId="0" fillId="0" borderId="1" xfId="0" applyNumberFormat="1" applyBorder="1" applyAlignment="1">
      <alignment horizontal="center"/>
    </xf>
    <xf numFmtId="165" fontId="0" fillId="0" borderId="1" xfId="1" applyNumberFormat="1" applyFont="1" applyBorder="1" applyAlignment="1">
      <alignment horizontal="center"/>
    </xf>
    <xf numFmtId="9" fontId="9" fillId="0" borderId="1" xfId="0" applyNumberFormat="1" applyFont="1" applyBorder="1" applyAlignment="1">
      <alignment horizontal="center"/>
    </xf>
    <xf numFmtId="0" fontId="9" fillId="12" borderId="12" xfId="0" applyFont="1" applyFill="1" applyBorder="1" applyAlignment="1">
      <alignment horizontal="center"/>
    </xf>
    <xf numFmtId="9" fontId="0" fillId="0" borderId="0" xfId="1" applyFont="1" applyFill="1" applyBorder="1" applyAlignment="1">
      <alignment horizontal="center"/>
    </xf>
    <xf numFmtId="0" fontId="0" fillId="0" borderId="0" xfId="0" applyFill="1" applyBorder="1" applyAlignment="1">
      <alignment horizontal="center"/>
    </xf>
    <xf numFmtId="0" fontId="9" fillId="12" borderId="17" xfId="0" applyFont="1" applyFill="1" applyBorder="1" applyAlignment="1">
      <alignment horizontal="center"/>
    </xf>
    <xf numFmtId="0" fontId="9" fillId="0" borderId="18" xfId="0" applyFont="1" applyFill="1" applyBorder="1" applyAlignment="1">
      <alignment horizontal="center"/>
    </xf>
    <xf numFmtId="0" fontId="0" fillId="0" borderId="18" xfId="0" applyBorder="1"/>
    <xf numFmtId="0" fontId="0" fillId="0" borderId="14" xfId="0" applyBorder="1" applyAlignment="1">
      <alignment horizontal="center"/>
    </xf>
    <xf numFmtId="0" fontId="0" fillId="0" borderId="0" xfId="0" applyBorder="1"/>
    <xf numFmtId="0" fontId="0" fillId="0" borderId="19" xfId="0" applyBorder="1"/>
    <xf numFmtId="0" fontId="0" fillId="0" borderId="16" xfId="0" applyBorder="1" applyAlignment="1">
      <alignment horizontal="center"/>
    </xf>
    <xf numFmtId="0" fontId="0" fillId="0" borderId="20" xfId="0" applyBorder="1" applyAlignment="1">
      <alignment horizontal="center"/>
    </xf>
    <xf numFmtId="9" fontId="0" fillId="0" borderId="21" xfId="1" applyFont="1" applyFill="1" applyBorder="1" applyAlignment="1">
      <alignment horizontal="center"/>
    </xf>
    <xf numFmtId="0" fontId="0" fillId="0" borderId="21" xfId="0" applyBorder="1"/>
    <xf numFmtId="0" fontId="0" fillId="0" borderId="22" xfId="0" applyBorder="1"/>
    <xf numFmtId="0" fontId="0" fillId="0" borderId="1" xfId="0" applyBorder="1" applyAlignment="1">
      <alignment horizontal="center" vertical="center"/>
    </xf>
    <xf numFmtId="165" fontId="0" fillId="0" borderId="1" xfId="1" applyNumberFormat="1" applyFont="1" applyBorder="1" applyAlignment="1">
      <alignment horizontal="center" vertical="center"/>
    </xf>
    <xf numFmtId="165" fontId="0" fillId="13" borderId="1" xfId="1" applyNumberFormat="1" applyFont="1" applyFill="1" applyBorder="1" applyAlignment="1">
      <alignment horizontal="center"/>
    </xf>
    <xf numFmtId="165" fontId="0" fillId="0" borderId="20" xfId="1" applyNumberFormat="1" applyFont="1" applyBorder="1" applyAlignment="1">
      <alignment horizontal="center"/>
    </xf>
    <xf numFmtId="0" fontId="0" fillId="13" borderId="1" xfId="1" applyNumberFormat="1" applyFont="1" applyFill="1" applyBorder="1" applyAlignment="1">
      <alignment horizontal="center"/>
    </xf>
    <xf numFmtId="0" fontId="9" fillId="12" borderId="17" xfId="0" applyFont="1" applyFill="1" applyBorder="1" applyAlignment="1">
      <alignment horizontal="center" vertical="center"/>
    </xf>
    <xf numFmtId="0" fontId="9" fillId="12" borderId="13" xfId="0" applyFont="1" applyFill="1" applyBorder="1" applyAlignment="1">
      <alignment horizontal="center" vertical="center"/>
    </xf>
    <xf numFmtId="0" fontId="0" fillId="0" borderId="15" xfId="0" applyBorder="1" applyAlignment="1">
      <alignment horizontal="center" vertical="center"/>
    </xf>
    <xf numFmtId="0" fontId="9" fillId="12" borderId="1" xfId="0" applyFont="1" applyFill="1" applyBorder="1" applyAlignment="1">
      <alignment horizontal="center" vertical="center"/>
    </xf>
    <xf numFmtId="0" fontId="9" fillId="12" borderId="23" xfId="0" applyFont="1" applyFill="1" applyBorder="1" applyAlignment="1">
      <alignment horizontal="center" vertical="center"/>
    </xf>
    <xf numFmtId="0" fontId="9" fillId="12" borderId="5" xfId="0" applyFont="1" applyFill="1" applyBorder="1" applyAlignment="1">
      <alignment horizontal="center" vertical="center"/>
    </xf>
    <xf numFmtId="0" fontId="0" fillId="0" borderId="0" xfId="0" applyBorder="1" applyAlignment="1">
      <alignment horizontal="center"/>
    </xf>
    <xf numFmtId="0" fontId="15" fillId="0" borderId="0" xfId="0" applyFont="1"/>
    <xf numFmtId="0" fontId="0" fillId="0" borderId="0" xfId="0" applyFill="1" applyBorder="1"/>
    <xf numFmtId="9" fontId="10" fillId="0" borderId="0" xfId="1" applyFont="1" applyFill="1" applyBorder="1" applyAlignment="1">
      <alignment horizontal="center"/>
    </xf>
    <xf numFmtId="0" fontId="0" fillId="0" borderId="0" xfId="0" applyFont="1" applyFill="1" applyBorder="1" applyAlignment="1">
      <alignment horizontal="center"/>
    </xf>
    <xf numFmtId="0" fontId="10" fillId="0" borderId="0" xfId="0" applyFont="1" applyFill="1" applyBorder="1" applyAlignment="1">
      <alignment horizontal="center"/>
    </xf>
    <xf numFmtId="0" fontId="11" fillId="0" borderId="0" xfId="0" applyFont="1" applyFill="1" applyBorder="1" applyAlignment="1">
      <alignment horizontal="center"/>
    </xf>
    <xf numFmtId="0" fontId="0" fillId="0" borderId="24" xfId="0" applyBorder="1" applyAlignment="1">
      <alignment horizontal="center" vertical="center" wrapText="1"/>
    </xf>
    <xf numFmtId="0" fontId="0" fillId="0" borderId="18" xfId="0" applyBorder="1" applyAlignment="1">
      <alignment horizontal="center" vertical="center" wrapText="1"/>
    </xf>
    <xf numFmtId="0" fontId="0" fillId="0" borderId="25" xfId="0" applyBorder="1" applyAlignment="1">
      <alignment horizontal="center" vertical="center" wrapText="1"/>
    </xf>
    <xf numFmtId="0" fontId="0" fillId="0" borderId="26" xfId="0" applyBorder="1" applyAlignment="1">
      <alignment horizontal="center" vertical="center" wrapText="1"/>
    </xf>
    <xf numFmtId="0" fontId="0" fillId="0" borderId="0" xfId="0" applyBorder="1" applyAlignment="1">
      <alignment horizontal="center" vertical="center" wrapText="1"/>
    </xf>
    <xf numFmtId="0" fontId="0" fillId="0" borderId="19" xfId="0" applyBorder="1" applyAlignment="1">
      <alignment horizontal="center" vertical="center" wrapText="1"/>
    </xf>
    <xf numFmtId="0" fontId="0" fillId="0" borderId="27" xfId="0" applyBorder="1" applyAlignment="1">
      <alignment horizontal="center" vertical="center" wrapText="1"/>
    </xf>
    <xf numFmtId="0" fontId="0" fillId="0" borderId="21" xfId="0" applyBorder="1" applyAlignment="1">
      <alignment horizontal="center" vertical="center" wrapText="1"/>
    </xf>
    <xf numFmtId="0" fontId="0" fillId="0" borderId="22" xfId="0" applyBorder="1" applyAlignment="1">
      <alignment horizontal="center" vertical="center" wrapText="1"/>
    </xf>
  </cellXfs>
  <cellStyles count="2">
    <cellStyle name="Normal" xfId="0" builtinId="0"/>
    <cellStyle name="Percent" xfId="1" builtinId="5"/>
  </cellStyles>
  <dxfs count="135">
    <dxf>
      <alignment vertical="center"/>
    </dxf>
    <dxf>
      <alignment vertical="center"/>
    </dxf>
    <dxf>
      <alignment vertical="center"/>
    </dxf>
    <dxf>
      <alignment horizontal="center"/>
    </dxf>
    <dxf>
      <alignment horizontal="center"/>
    </dxf>
    <dxf>
      <alignment horizontal="center"/>
    </dxf>
    <dxf>
      <numFmt numFmtId="13" formatCode="0%"/>
    </dxf>
    <dxf>
      <numFmt numFmtId="14" formatCode="0.00%"/>
    </dxf>
    <dxf>
      <alignment horizontal="center"/>
    </dxf>
    <dxf>
      <alignment horizontal="center"/>
    </dxf>
    <dxf>
      <alignment horizontal="center"/>
    </dxf>
    <dxf>
      <numFmt numFmtId="165" formatCode="0.0%"/>
    </dxf>
    <dxf>
      <numFmt numFmtId="13" formatCode="0%"/>
    </dxf>
    <dxf>
      <numFmt numFmtId="14" formatCode="0.00%"/>
    </dxf>
    <dxf>
      <alignment horizontal="center"/>
    </dxf>
    <dxf>
      <alignment horizontal="center"/>
    </dxf>
    <dxf>
      <numFmt numFmtId="13" formatCode="0%"/>
    </dxf>
    <dxf>
      <numFmt numFmtId="14" formatCode="0.00%"/>
    </dxf>
    <dxf>
      <alignment horizontal="center"/>
    </dxf>
    <dxf>
      <alignment horizontal="center"/>
    </dxf>
    <dxf>
      <numFmt numFmtId="165" formatCode="0.0%"/>
    </dxf>
    <dxf>
      <font>
        <color rgb="FF9C0006"/>
      </font>
      <fill>
        <patternFill>
          <bgColor rgb="FFFFC7CE"/>
        </patternFill>
      </fill>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13" formatCode="0%"/>
    </dxf>
    <dxf>
      <alignment horizontal="center"/>
    </dxf>
    <dxf>
      <alignment horizontal="center"/>
    </dxf>
    <dxf>
      <alignment horizontal="center"/>
    </dxf>
    <dxf>
      <alignment horizontal="center"/>
    </dxf>
    <dxf>
      <numFmt numFmtId="13" formatCode="0%"/>
    </dxf>
    <dxf>
      <alignment horizontal="center"/>
    </dxf>
    <dxf>
      <alignment horizontal="center"/>
    </dxf>
    <dxf>
      <alignment horizontal="center"/>
    </dxf>
    <dxf>
      <alignment horizontal="cent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rgb="FFFFFFFF"/>
        <name val="Calibri"/>
        <family val="2"/>
        <scheme val="minor"/>
      </font>
      <fill>
        <patternFill patternType="solid">
          <fgColor indexed="64"/>
          <bgColor rgb="FF000000"/>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rgb="FFFFFFFF"/>
        <name val="Calibri"/>
        <family val="2"/>
        <scheme val="minor"/>
      </font>
      <fill>
        <patternFill patternType="solid">
          <fgColor indexed="64"/>
          <bgColor rgb="FF000000"/>
        </patternFill>
      </fill>
      <alignment horizontal="center" vertical="center"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1"/>
        <name val="Calibri"/>
        <family val="2"/>
        <scheme val="none"/>
      </font>
      <numFmt numFmtId="0" formatCode="Genera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numFmt numFmtId="0" formatCode="Genera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numFmt numFmtId="0" formatCode="Genera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numFmt numFmtId="0" formatCode="Genera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numFmt numFmtId="0" formatCode="Genera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numFmt numFmtId="0" formatCode="Genera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bottom" textRotation="0" wrapText="0" indent="0" justifyLastLine="0" shrinkToFit="0" readingOrder="0"/>
      <border diagonalUp="0" diagonalDown="0" outline="0">
        <left style="thin">
          <color indexed="64"/>
        </left>
        <right style="thin">
          <color indexed="64"/>
        </right>
        <top style="thin">
          <color indexed="64"/>
        </top>
        <bottom/>
      </border>
    </dxf>
    <dxf>
      <numFmt numFmtId="0" formatCode="General"/>
      <alignment horizontal="left"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bottom" textRotation="0" wrapText="0" indent="0" justifyLastLine="0" shrinkToFit="0" readingOrder="0"/>
      <border diagonalUp="0" diagonalDown="0" outline="0">
        <left style="thin">
          <color indexed="64"/>
        </left>
        <right style="thin">
          <color indexed="64"/>
        </right>
        <top style="thin">
          <color indexed="64"/>
        </top>
        <bottom/>
      </border>
    </dxf>
    <dxf>
      <alignment horizontal="left"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none"/>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numFmt numFmtId="0" formatCode="Genera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numFmt numFmtId="0" formatCode="Genera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numFmt numFmtId="0" formatCode="Genera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alignment horizontal="left"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none"/>
      </font>
      <alignment horizontal="center" vertical="bottom"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none"/>
      </font>
      <numFmt numFmtId="164" formatCode="[$-409]d\-mmm\-yy;@"/>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auto="1"/>
        <name val="Calibri"/>
        <family val="2"/>
        <scheme val="minor"/>
      </font>
      <fill>
        <patternFill patternType="solid">
          <fgColor indexed="64"/>
          <bgColor theme="9"/>
        </patternFill>
      </fill>
      <border diagonalUp="0" diagonalDown="0" outline="0">
        <left style="thin">
          <color indexed="64"/>
        </left>
        <right style="thin">
          <color indexed="64"/>
        </right>
        <top/>
        <bottom/>
      </border>
    </dxf>
    <dxf>
      <font>
        <color rgb="FF9C0006"/>
      </font>
      <fill>
        <patternFill>
          <bgColor rgb="FFFFC7CE"/>
        </patternFill>
      </fill>
    </dxf>
    <dxf>
      <font>
        <b val="0"/>
        <i val="0"/>
        <color rgb="FFFF0000"/>
      </font>
    </dxf>
    <dxf>
      <font>
        <b val="0"/>
        <i val="0"/>
        <color rgb="FFFF0000"/>
      </font>
    </dxf>
    <dxf>
      <font>
        <b val="0"/>
        <i val="0"/>
        <color rgb="FFFF0000"/>
      </font>
    </dxf>
    <dxf>
      <font>
        <b val="0"/>
        <i val="0"/>
        <color rgb="FFFF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color theme="1"/>
      </font>
      <border>
        <bottom style="thin">
          <color theme="9"/>
        </bottom>
        <vertical/>
        <horizontal/>
      </border>
    </dxf>
    <dxf>
      <font>
        <sz val="9"/>
        <color theme="1"/>
        <name val="adabi"/>
      </font>
      <border diagonalUp="0" diagonalDown="0">
        <left/>
        <right/>
        <top/>
        <bottom/>
        <vertical/>
        <horizontal/>
      </border>
    </dxf>
  </dxfs>
  <tableStyles count="1" defaultTableStyle="TableStyleMedium2" defaultPivotStyle="PivotStyleLight16">
    <tableStyle name="ZhenBo_Green" pivot="0" table="0" count="10" xr9:uid="{2AC259D6-0DA9-45A4-A085-34EFB9711E11}">
      <tableStyleElement type="wholeTable" dxfId="134"/>
      <tableStyleElement type="headerRow" dxfId="133"/>
    </tableStyle>
  </tableStyles>
  <colors>
    <mruColors>
      <color rgb="FFDEEBF7"/>
      <color rgb="FF86B5E0"/>
      <color rgb="FFFFF3CC"/>
      <color rgb="FFFFFF87"/>
      <color rgb="FFFD7272"/>
      <color rgb="FFFDA1A1"/>
      <color rgb="FFC5E0B4"/>
      <color rgb="FF7BB952"/>
      <color rgb="FFFFF2CC"/>
      <color rgb="FFFFDA67"/>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9" tint="0.79998168889431442"/>
              <bgColor theme="9"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9" tint="0.59999389629810485"/>
              <bgColor theme="9"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ZhenBo_Green">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microsoft.com/office/2007/relationships/slicerCache" Target="slicerCaches/slicerCache7.xml"/><Relationship Id="rId26" Type="http://schemas.microsoft.com/office/2017/10/relationships/person" Target="persons/person.xml"/><Relationship Id="rId3" Type="http://schemas.openxmlformats.org/officeDocument/2006/relationships/worksheet" Target="worksheets/sheet3.xml"/><Relationship Id="rId21" Type="http://schemas.microsoft.com/office/2007/relationships/slicerCache" Target="slicerCaches/slicerCache10.xml"/><Relationship Id="rId34" Type="http://schemas.microsoft.com/office/2006/relationships/vbaProject" Target="vbaProject.bin"/><Relationship Id="rId7" Type="http://schemas.openxmlformats.org/officeDocument/2006/relationships/worksheet" Target="worksheets/sheet7.xml"/><Relationship Id="rId12" Type="http://schemas.microsoft.com/office/2007/relationships/slicerCache" Target="slicerCaches/slicerCache1.xml"/><Relationship Id="rId17" Type="http://schemas.microsoft.com/office/2007/relationships/slicerCache" Target="slicerCaches/slicerCache6.xml"/><Relationship Id="rId25" Type="http://schemas.openxmlformats.org/officeDocument/2006/relationships/sheetMetadata" Target="metadata.xml"/><Relationship Id="rId33" Type="http://schemas.openxmlformats.org/officeDocument/2006/relationships/customXml" Target="../customXml/item6.xml"/><Relationship Id="rId2" Type="http://schemas.openxmlformats.org/officeDocument/2006/relationships/worksheet" Target="worksheets/sheet2.xml"/><Relationship Id="rId16" Type="http://schemas.microsoft.com/office/2007/relationships/slicerCache" Target="slicerCaches/slicerCache5.xml"/><Relationship Id="rId20" Type="http://schemas.microsoft.com/office/2007/relationships/slicerCache" Target="slicerCaches/slicerCache9.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24" Type="http://schemas.openxmlformats.org/officeDocument/2006/relationships/sharedStrings" Target="sharedStrings.xml"/><Relationship Id="rId32" Type="http://schemas.openxmlformats.org/officeDocument/2006/relationships/customXml" Target="../customXml/item5.xml"/><Relationship Id="rId5" Type="http://schemas.openxmlformats.org/officeDocument/2006/relationships/worksheet" Target="worksheets/sheet5.xml"/><Relationship Id="rId15" Type="http://schemas.microsoft.com/office/2007/relationships/slicerCache" Target="slicerCaches/slicerCache4.xml"/><Relationship Id="rId23" Type="http://schemas.openxmlformats.org/officeDocument/2006/relationships/styles" Target="styles.xml"/><Relationship Id="rId28" Type="http://schemas.openxmlformats.org/officeDocument/2006/relationships/customXml" Target="../customXml/item1.xml"/><Relationship Id="rId10" Type="http://schemas.openxmlformats.org/officeDocument/2006/relationships/worksheet" Target="worksheets/sheet10.xml"/><Relationship Id="rId19" Type="http://schemas.microsoft.com/office/2007/relationships/slicerCache" Target="slicerCaches/slicerCache8.xml"/><Relationship Id="rId31"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3.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8.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_rels/chart10.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_rels/chart1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ivotFmts>
      <c:pivotFmt>
        <c:idx val="0"/>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gradFill>
            <a:gsLst>
              <a:gs pos="100000">
                <a:srgbClr val="4CEBF3"/>
              </a:gs>
              <a:gs pos="0">
                <a:srgbClr val="D4FAFC"/>
              </a:gs>
            </a:gsLst>
            <a:lin ang="2700000" scaled="0"/>
          </a:gradFill>
          <a:ln w="19050">
            <a:solidFill>
              <a:schemeClr val="lt1"/>
            </a:solidFill>
          </a:ln>
          <a:effectLst/>
        </c:spPr>
      </c:pivotFmt>
      <c:pivotFmt>
        <c:idx val="2"/>
        <c:spPr>
          <a:gradFill>
            <a:gsLst>
              <a:gs pos="0">
                <a:schemeClr val="bg1">
                  <a:lumMod val="50000"/>
                </a:schemeClr>
              </a:gs>
              <a:gs pos="100000">
                <a:schemeClr val="accent1">
                  <a:lumMod val="30000"/>
                  <a:lumOff val="70000"/>
                </a:schemeClr>
              </a:gs>
            </a:gsLst>
            <a:lin ang="5400000" scaled="1"/>
          </a:gradFill>
          <a:ln w="19050">
            <a:solidFill>
              <a:schemeClr val="lt1"/>
            </a:solidFill>
          </a:ln>
          <a:effectLst/>
        </c:spPr>
      </c:pivotFmt>
      <c:pivotFmt>
        <c:idx val="3"/>
        <c:spPr>
          <a:gradFill>
            <a:gsLst>
              <a:gs pos="0">
                <a:srgbClr val="FF0000"/>
              </a:gs>
              <a:gs pos="100000">
                <a:srgbClr val="FDA1A1"/>
              </a:gs>
            </a:gsLst>
            <a:lin ang="2700000" scaled="0"/>
          </a:gradFill>
          <a:ln w="19050">
            <a:solidFill>
              <a:schemeClr val="lt1"/>
            </a:solidFill>
          </a:ln>
          <a:effectLst/>
        </c:spPr>
      </c:pivotFmt>
      <c:pivotFmt>
        <c:idx val="4"/>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gradFill>
            <a:gsLst>
              <a:gs pos="100000">
                <a:srgbClr val="4CEBF3"/>
              </a:gs>
              <a:gs pos="0">
                <a:srgbClr val="D4FAFC"/>
              </a:gs>
            </a:gsLst>
            <a:lin ang="2700000" scaled="0"/>
          </a:gradFill>
          <a:ln w="19050">
            <a:solidFill>
              <a:schemeClr val="lt1"/>
            </a:solidFill>
          </a:ln>
          <a:effectLst/>
        </c:spPr>
      </c:pivotFmt>
      <c:pivotFmt>
        <c:idx val="6"/>
        <c:spPr>
          <a:gradFill>
            <a:gsLst>
              <a:gs pos="0">
                <a:schemeClr val="bg1">
                  <a:lumMod val="50000"/>
                </a:schemeClr>
              </a:gs>
              <a:gs pos="100000">
                <a:schemeClr val="accent1">
                  <a:lumMod val="30000"/>
                  <a:lumOff val="70000"/>
                </a:schemeClr>
              </a:gs>
            </a:gsLst>
            <a:lin ang="5400000" scaled="1"/>
          </a:gradFill>
          <a:ln w="19050">
            <a:solidFill>
              <a:schemeClr val="lt1"/>
            </a:solidFill>
          </a:ln>
          <a:effectLst/>
        </c:spPr>
      </c:pivotFmt>
      <c:pivotFmt>
        <c:idx val="7"/>
        <c:spPr>
          <a:gradFill>
            <a:gsLst>
              <a:gs pos="0">
                <a:srgbClr val="FF0000"/>
              </a:gs>
              <a:gs pos="100000">
                <a:srgbClr val="FDA1A1"/>
              </a:gs>
            </a:gsLst>
            <a:lin ang="2700000" scaled="0"/>
          </a:gra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Abadi" panose="020B0604020104020204" pitchFamily="34" charset="0"/>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Lst>
        </c:dLbl>
      </c:pivotFmt>
      <c:pivotFmt>
        <c:idx val="9"/>
        <c:spPr>
          <a:gradFill>
            <a:gsLst>
              <a:gs pos="100000">
                <a:srgbClr val="70AD47">
                  <a:lumMod val="75000"/>
                </a:srgbClr>
              </a:gs>
              <a:gs pos="0">
                <a:srgbClr val="70AD47">
                  <a:lumMod val="40000"/>
                  <a:lumOff val="60000"/>
                </a:srgbClr>
              </a:gs>
            </a:gsLst>
            <a:lin ang="2700000" scaled="0"/>
          </a:gradFill>
          <a:ln w="19050">
            <a:solidFill>
              <a:schemeClr val="lt1"/>
            </a:solidFill>
          </a:ln>
          <a:effectLst/>
        </c:spPr>
      </c:pivotFmt>
      <c:pivotFmt>
        <c:idx val="10"/>
        <c:spPr>
          <a:gradFill>
            <a:gsLst>
              <a:gs pos="0">
                <a:schemeClr val="bg1">
                  <a:lumMod val="50000"/>
                </a:schemeClr>
              </a:gs>
              <a:gs pos="100000">
                <a:schemeClr val="accent1">
                  <a:lumMod val="30000"/>
                  <a:lumOff val="70000"/>
                </a:schemeClr>
              </a:gs>
            </a:gsLst>
            <a:lin ang="5400000" scaled="1"/>
          </a:gradFill>
          <a:ln w="19050">
            <a:solidFill>
              <a:schemeClr val="lt1"/>
            </a:solidFill>
          </a:ln>
          <a:effectLst/>
        </c:spPr>
      </c:pivotFmt>
      <c:pivotFmt>
        <c:idx val="11"/>
        <c:spPr>
          <a:gradFill>
            <a:gsLst>
              <a:gs pos="0">
                <a:srgbClr val="FF0000"/>
              </a:gs>
              <a:gs pos="100000">
                <a:srgbClr val="FDA1A1"/>
              </a:gs>
            </a:gsLst>
            <a:lin ang="2700000" scaled="0"/>
          </a:gradFill>
          <a:ln w="19050">
            <a:solidFill>
              <a:schemeClr val="lt1"/>
            </a:solidFill>
          </a:ln>
          <a:effectLst/>
        </c:spPr>
      </c:pivotFmt>
    </c:pivotFmts>
    <c:plotArea>
      <c:layout>
        <c:manualLayout>
          <c:layoutTarget val="inner"/>
          <c:xMode val="edge"/>
          <c:yMode val="edge"/>
          <c:x val="0"/>
          <c:y val="1.3111111111111112E-2"/>
          <c:w val="0.98788888888888893"/>
          <c:h val="0.98688888888888893"/>
        </c:manualLayout>
      </c:layout>
      <c:doughnutChart>
        <c:varyColors val="1"/>
        <c:ser>
          <c:idx val="0"/>
          <c:order val="0"/>
          <c:dPt>
            <c:idx val="0"/>
            <c:bubble3D val="0"/>
            <c:spPr>
              <a:gradFill>
                <a:gsLst>
                  <a:gs pos="100000">
                    <a:srgbClr val="70AD47">
                      <a:lumMod val="75000"/>
                    </a:srgbClr>
                  </a:gs>
                  <a:gs pos="0">
                    <a:srgbClr val="70AD47">
                      <a:lumMod val="40000"/>
                      <a:lumOff val="60000"/>
                    </a:srgbClr>
                  </a:gs>
                </a:gsLst>
                <a:lin ang="2700000" scaled="0"/>
              </a:gradFill>
              <a:ln w="19050">
                <a:solidFill>
                  <a:schemeClr val="lt1"/>
                </a:solidFill>
              </a:ln>
              <a:effectLst/>
            </c:spPr>
            <c:extLst>
              <c:ext xmlns:c16="http://schemas.microsoft.com/office/drawing/2014/chart" uri="{C3380CC4-5D6E-409C-BE32-E72D297353CC}">
                <c16:uniqueId val="{00000001-6A95-449F-A838-5B5A65B65D0F}"/>
              </c:ext>
            </c:extLst>
          </c:dPt>
          <c:dPt>
            <c:idx val="1"/>
            <c:bubble3D val="0"/>
            <c:spPr>
              <a:gradFill>
                <a:gsLst>
                  <a:gs pos="0">
                    <a:srgbClr val="FF0000"/>
                  </a:gs>
                  <a:gs pos="100000">
                    <a:srgbClr val="FDA1A1"/>
                  </a:gs>
                </a:gsLst>
                <a:lin ang="2700000" scaled="0"/>
              </a:gradFill>
              <a:ln w="19050">
                <a:solidFill>
                  <a:schemeClr val="lt1"/>
                </a:solidFill>
              </a:ln>
              <a:effectLst/>
            </c:spPr>
            <c:extLst>
              <c:ext xmlns:c16="http://schemas.microsoft.com/office/drawing/2014/chart" uri="{C3380CC4-5D6E-409C-BE32-E72D297353CC}">
                <c16:uniqueId val="{00000003-6A95-449F-A838-5B5A65B65D0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A95-449F-A838-5B5A65B65D0F}"/>
              </c:ext>
            </c:extLst>
          </c:dPt>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Abadi" panose="020B0604020104020204" pitchFamily="34" charset="0"/>
                    <a:ea typeface="+mn-ea"/>
                    <a:cs typeface="+mn-cs"/>
                  </a:defRPr>
                </a:pPr>
                <a:endParaRPr lang="en-US"/>
              </a:p>
            </c:txPr>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'Data Preparation'!$P$6:$P$7</c:f>
              <c:strCache>
                <c:ptCount val="2"/>
                <c:pt idx="0">
                  <c:v>P</c:v>
                </c:pt>
                <c:pt idx="1">
                  <c:v>F</c:v>
                </c:pt>
              </c:strCache>
            </c:strRef>
          </c:cat>
          <c:val>
            <c:numRef>
              <c:f>'Data Preparation'!$Q$6:$Q$7</c:f>
              <c:numCache>
                <c:formatCode>0%</c:formatCode>
                <c:ptCount val="2"/>
                <c:pt idx="0">
                  <c:v>0.9285714285714286</c:v>
                </c:pt>
                <c:pt idx="1">
                  <c:v>7.1428571428571425E-2</c:v>
                </c:pt>
              </c:numCache>
            </c:numRef>
          </c:val>
          <c:extLst>
            <c:ext xmlns:c16="http://schemas.microsoft.com/office/drawing/2014/chart" uri="{C3380CC4-5D6E-409C-BE32-E72D297353CC}">
              <c16:uniqueId val="{00000006-6A95-449F-A838-5B5A65B65D0F}"/>
            </c:ext>
          </c:extLst>
        </c:ser>
        <c:ser>
          <c:idx val="1"/>
          <c:order val="1"/>
          <c:tx>
            <c:v>Target</c:v>
          </c:tx>
          <c:spPr>
            <a:ln>
              <a:noFill/>
            </a:ln>
          </c:spPr>
          <c:dPt>
            <c:idx val="0"/>
            <c:bubble3D val="0"/>
            <c:spPr>
              <a:noFill/>
              <a:ln w="19050">
                <a:noFill/>
              </a:ln>
              <a:effectLst/>
            </c:spPr>
            <c:extLst>
              <c:ext xmlns:c16="http://schemas.microsoft.com/office/drawing/2014/chart" uri="{C3380CC4-5D6E-409C-BE32-E72D297353CC}">
                <c16:uniqueId val="{00000008-6A95-449F-A838-5B5A65B65D0F}"/>
              </c:ext>
            </c:extLst>
          </c:dPt>
          <c:dPt>
            <c:idx val="1"/>
            <c:bubble3D val="0"/>
            <c:spPr>
              <a:gradFill>
                <a:gsLst>
                  <a:gs pos="0">
                    <a:srgbClr val="5B9BD5">
                      <a:lumMod val="75000"/>
                    </a:srgbClr>
                  </a:gs>
                  <a:gs pos="100000">
                    <a:srgbClr val="5B9BD5">
                      <a:lumMod val="60000"/>
                      <a:lumOff val="40000"/>
                    </a:srgbClr>
                  </a:gs>
                </a:gsLst>
                <a:lin ang="5400000" scaled="1"/>
              </a:gradFill>
              <a:ln w="19050">
                <a:noFill/>
              </a:ln>
              <a:effectLst/>
            </c:spPr>
            <c:extLst>
              <c:ext xmlns:c16="http://schemas.microsoft.com/office/drawing/2014/chart" uri="{C3380CC4-5D6E-409C-BE32-E72D297353CC}">
                <c16:uniqueId val="{0000000A-6A95-449F-A838-5B5A65B65D0F}"/>
              </c:ext>
            </c:extLst>
          </c:dPt>
          <c:dPt>
            <c:idx val="2"/>
            <c:bubble3D val="0"/>
            <c:spPr>
              <a:noFill/>
              <a:ln w="19050">
                <a:noFill/>
              </a:ln>
              <a:effectLst/>
            </c:spPr>
            <c:extLst>
              <c:ext xmlns:c16="http://schemas.microsoft.com/office/drawing/2014/chart" uri="{C3380CC4-5D6E-409C-BE32-E72D297353CC}">
                <c16:uniqueId val="{0000000C-6A95-449F-A838-5B5A65B65D0F}"/>
              </c:ext>
            </c:extLst>
          </c:dPt>
          <c:dLbls>
            <c:delete val="1"/>
          </c:dLbls>
          <c:val>
            <c:numRef>
              <c:f>'Data Preparation'!$T$4:$T$6</c:f>
              <c:numCache>
                <c:formatCode>0.0%</c:formatCode>
                <c:ptCount val="3"/>
                <c:pt idx="0">
                  <c:v>0.84250000000000003</c:v>
                </c:pt>
                <c:pt idx="1">
                  <c:v>1.4999999999999999E-2</c:v>
                </c:pt>
                <c:pt idx="2">
                  <c:v>0.14249999999999996</c:v>
                </c:pt>
              </c:numCache>
            </c:numRef>
          </c:val>
          <c:extLst>
            <c:ext xmlns:c16="http://schemas.microsoft.com/office/drawing/2014/chart" uri="{C3380CC4-5D6E-409C-BE32-E72D297353CC}">
              <c16:uniqueId val="{0000000D-6A95-449F-A838-5B5A65B65D0F}"/>
            </c:ext>
          </c:extLst>
        </c:ser>
        <c:dLbls>
          <c:showLegendKey val="0"/>
          <c:showVal val="1"/>
          <c:showCatName val="0"/>
          <c:showSerName val="0"/>
          <c:showPercent val="0"/>
          <c:showBubbleSize val="0"/>
          <c:showLeaderLines val="1"/>
        </c:dLbls>
        <c:firstSliceAng val="0"/>
        <c:holeSize val="50"/>
      </c:doughnutChart>
      <c:spPr>
        <a:noFill/>
        <a:ln>
          <a:noFill/>
        </a:ln>
        <a:effectLst/>
      </c:spPr>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t" anchorCtr="1"/>
          <a:lstStyle/>
          <a:p>
            <a:pPr>
              <a:defRPr sz="1800" b="0" i="0" u="none" strike="noStrike" kern="1200" spc="0" baseline="0">
                <a:solidFill>
                  <a:schemeClr val="tx1">
                    <a:lumMod val="65000"/>
                    <a:lumOff val="35000"/>
                  </a:schemeClr>
                </a:solidFill>
                <a:latin typeface="Abadi" panose="020B0604020104020204" pitchFamily="34" charset="0"/>
                <a:ea typeface="+mn-ea"/>
                <a:cs typeface="+mn-cs"/>
              </a:defRPr>
            </a:pPr>
            <a:r>
              <a:rPr lang="en-US"/>
              <a:t>Customer Centric Fail Rate %</a:t>
            </a:r>
          </a:p>
        </c:rich>
      </c:tx>
      <c:overlay val="0"/>
      <c:spPr>
        <a:noFill/>
        <a:ln>
          <a:noFill/>
        </a:ln>
        <a:effectLst/>
      </c:spPr>
    </c:title>
    <c:autoTitleDeleted val="0"/>
    <c:plotArea>
      <c:layout>
        <c:manualLayout>
          <c:layoutTarget val="inner"/>
          <c:xMode val="edge"/>
          <c:yMode val="edge"/>
          <c:x val="1.6120906801007556E-2"/>
          <c:y val="3.7688894974125635E-2"/>
          <c:w val="0.95566750629722919"/>
          <c:h val="0.82787448935166863"/>
        </c:manualLayout>
      </c:layout>
      <c:barChart>
        <c:barDir val="col"/>
        <c:grouping val="clustered"/>
        <c:varyColors val="0"/>
        <c:ser>
          <c:idx val="2"/>
          <c:order val="0"/>
          <c:tx>
            <c:v>Customer Centric Fail Rate %</c:v>
          </c:tx>
          <c:spPr>
            <a:gradFill>
              <a:gsLst>
                <a:gs pos="100000">
                  <a:srgbClr val="FD6363"/>
                </a:gs>
                <a:gs pos="0">
                  <a:srgbClr val="FDA1A1"/>
                </a:gs>
              </a:gsLst>
              <a:lin ang="5400000" scaled="1"/>
            </a:gradFill>
            <a:ln>
              <a:noFill/>
            </a:ln>
            <a:effectLst/>
          </c:spPr>
          <c:invertIfNegative val="0"/>
          <c:dPt>
            <c:idx val="1"/>
            <c:invertIfNegative val="0"/>
            <c:bubble3D val="0"/>
            <c:spPr>
              <a:gradFill>
                <a:gsLst>
                  <a:gs pos="100000">
                    <a:srgbClr val="F48B17"/>
                  </a:gs>
                  <a:gs pos="0">
                    <a:srgbClr val="FFD7AB"/>
                  </a:gs>
                </a:gsLst>
                <a:lin ang="5400000" scaled="1"/>
              </a:gradFill>
              <a:ln>
                <a:noFill/>
              </a:ln>
              <a:effectLst/>
            </c:spPr>
            <c:extLst>
              <c:ext xmlns:c16="http://schemas.microsoft.com/office/drawing/2014/chart" uri="{C3380CC4-5D6E-409C-BE32-E72D297353CC}">
                <c16:uniqueId val="{0000000A-11E7-4A68-9A03-B8E5DFB4C93B}"/>
              </c:ext>
            </c:extLst>
          </c:dPt>
          <c:dPt>
            <c:idx val="2"/>
            <c:invertIfNegative val="0"/>
            <c:bubble3D val="0"/>
            <c:spPr>
              <a:gradFill>
                <a:gsLst>
                  <a:gs pos="100000">
                    <a:srgbClr val="FFDD70"/>
                  </a:gs>
                  <a:gs pos="0">
                    <a:srgbClr val="FFF2CC"/>
                  </a:gs>
                </a:gsLst>
                <a:lin ang="5400000" scaled="1"/>
              </a:gradFill>
              <a:ln>
                <a:noFill/>
              </a:ln>
              <a:effectLst/>
            </c:spPr>
            <c:extLst>
              <c:ext xmlns:c16="http://schemas.microsoft.com/office/drawing/2014/chart" uri="{C3380CC4-5D6E-409C-BE32-E72D297353CC}">
                <c16:uniqueId val="{00000007-7BB7-468B-87B0-6F89DBD396B9}"/>
              </c:ext>
            </c:extLst>
          </c:dPt>
          <c:dPt>
            <c:idx val="3"/>
            <c:invertIfNegative val="0"/>
            <c:bubble3D val="0"/>
            <c:spPr>
              <a:gradFill>
                <a:gsLst>
                  <a:gs pos="100000">
                    <a:srgbClr val="8AB8E2"/>
                  </a:gs>
                  <a:gs pos="0">
                    <a:srgbClr val="DEEBF7"/>
                  </a:gs>
                </a:gsLst>
                <a:lin ang="5400000" scaled="1"/>
              </a:gradFill>
              <a:ln>
                <a:noFill/>
              </a:ln>
              <a:effectLst/>
            </c:spPr>
            <c:extLst>
              <c:ext xmlns:c16="http://schemas.microsoft.com/office/drawing/2014/chart" uri="{C3380CC4-5D6E-409C-BE32-E72D297353CC}">
                <c16:uniqueId val="{00000006-7BB7-468B-87B0-6F89DBD396B9}"/>
              </c:ext>
            </c:extLst>
          </c:dPt>
          <c:dPt>
            <c:idx val="4"/>
            <c:invertIfNegative val="0"/>
            <c:bubble3D val="0"/>
            <c:spPr>
              <a:gradFill>
                <a:gsLst>
                  <a:gs pos="100000">
                    <a:srgbClr val="FFFE92"/>
                  </a:gs>
                  <a:gs pos="0">
                    <a:srgbClr val="FFF3CC"/>
                  </a:gs>
                </a:gsLst>
                <a:lin ang="5400000" scaled="1"/>
              </a:gradFill>
              <a:ln>
                <a:noFill/>
              </a:ln>
              <a:effectLst/>
            </c:spPr>
            <c:extLst>
              <c:ext xmlns:c16="http://schemas.microsoft.com/office/drawing/2014/chart" uri="{C3380CC4-5D6E-409C-BE32-E72D297353CC}">
                <c16:uniqueId val="{00000008-7BB7-468B-87B0-6F89DBD396B9}"/>
              </c:ext>
            </c:extLst>
          </c:dPt>
          <c:dPt>
            <c:idx val="5"/>
            <c:invertIfNegative val="0"/>
            <c:bubble3D val="0"/>
            <c:spPr>
              <a:gradFill>
                <a:gsLst>
                  <a:gs pos="100000">
                    <a:srgbClr val="FD7B7B"/>
                  </a:gs>
                  <a:gs pos="0">
                    <a:srgbClr val="FEC2C2"/>
                  </a:gs>
                </a:gsLst>
                <a:lin ang="5400000" scaled="1"/>
              </a:gradFill>
              <a:ln>
                <a:noFill/>
              </a:ln>
              <a:effectLst/>
            </c:spPr>
            <c:extLst>
              <c:ext xmlns:c16="http://schemas.microsoft.com/office/drawing/2014/chart" uri="{C3380CC4-5D6E-409C-BE32-E72D297353CC}">
                <c16:uniqueId val="{0000000C-11E7-4A68-9A03-B8E5DFB4C93B}"/>
              </c:ext>
            </c:extLst>
          </c:dPt>
          <c:dLbls>
            <c:spPr>
              <a:noFill/>
              <a:ln>
                <a:noFill/>
              </a:ln>
              <a:effectLst/>
            </c:spPr>
            <c:txPr>
              <a:bodyPr rot="0" spcFirstLastPara="1" vertOverflow="ellipsis" vert="horz" wrap="square" anchor="ctr" anchorCtr="1"/>
              <a:lstStyle/>
              <a:p>
                <a:pPr>
                  <a:defRPr sz="1600" b="0" i="0" u="none" strike="noStrike" kern="1200" baseline="0">
                    <a:solidFill>
                      <a:schemeClr val="tx1">
                        <a:lumMod val="75000"/>
                        <a:lumOff val="25000"/>
                      </a:schemeClr>
                    </a:solidFill>
                    <a:latin typeface="Abadi" panose="020B0604020104020204"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[0]!MOM_Month</c:f>
              <c:strCache>
                <c:ptCount val="6"/>
                <c:pt idx="0">
                  <c:v>Jun</c:v>
                </c:pt>
                <c:pt idx="1">
                  <c:v>Jul</c:v>
                </c:pt>
                <c:pt idx="2">
                  <c:v>Aug</c:v>
                </c:pt>
                <c:pt idx="3">
                  <c:v>Sep</c:v>
                </c:pt>
                <c:pt idx="4">
                  <c:v>Oct</c:v>
                </c:pt>
                <c:pt idx="5">
                  <c:v>Nov</c:v>
                </c:pt>
              </c:strCache>
            </c:strRef>
          </c:cat>
          <c:val>
            <c:numRef>
              <c:f>[0]!MOM_Compliance</c:f>
              <c:numCache>
                <c:formatCode>0%</c:formatCode>
                <c:ptCount val="6"/>
                <c:pt idx="0">
                  <c:v>1</c:v>
                </c:pt>
                <c:pt idx="1">
                  <c:v>1</c:v>
                </c:pt>
                <c:pt idx="2">
                  <c:v>1</c:v>
                </c:pt>
                <c:pt idx="3">
                  <c:v>1</c:v>
                </c:pt>
                <c:pt idx="4">
                  <c:v>7.9365079365079361E-2</c:v>
                </c:pt>
                <c:pt idx="5">
                  <c:v>7.1428571428571425E-2</c:v>
                </c:pt>
              </c:numCache>
            </c:numRef>
          </c:val>
          <c:extLst>
            <c:ext xmlns:c16="http://schemas.microsoft.com/office/drawing/2014/chart" uri="{C3380CC4-5D6E-409C-BE32-E72D297353CC}">
              <c16:uniqueId val="{0000000D-11E7-4A68-9A03-B8E5DFB4C93B}"/>
            </c:ext>
          </c:extLst>
        </c:ser>
        <c:dLbls>
          <c:dLblPos val="ctr"/>
          <c:showLegendKey val="0"/>
          <c:showVal val="1"/>
          <c:showCatName val="0"/>
          <c:showSerName val="0"/>
          <c:showPercent val="0"/>
          <c:showBubbleSize val="0"/>
        </c:dLbls>
        <c:gapWidth val="50"/>
        <c:axId val="23556055"/>
        <c:axId val="23555727"/>
      </c:barChart>
      <c:catAx>
        <c:axId val="235560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Abadi" panose="020B0604020104020204" pitchFamily="34" charset="0"/>
                <a:ea typeface="+mn-ea"/>
                <a:cs typeface="+mn-cs"/>
              </a:defRPr>
            </a:pPr>
            <a:endParaRPr lang="en-US"/>
          </a:p>
        </c:txPr>
        <c:crossAx val="23555727"/>
        <c:crosses val="autoZero"/>
        <c:auto val="1"/>
        <c:lblAlgn val="ctr"/>
        <c:lblOffset val="100"/>
        <c:noMultiLvlLbl val="0"/>
      </c:catAx>
      <c:valAx>
        <c:axId val="23555727"/>
        <c:scaling>
          <c:orientation val="minMax"/>
          <c:min val="0"/>
        </c:scaling>
        <c:delete val="1"/>
        <c:axPos val="l"/>
        <c:numFmt formatCode="0%" sourceLinked="1"/>
        <c:majorTickMark val="out"/>
        <c:minorTickMark val="none"/>
        <c:tickLblPos val="nextTo"/>
        <c:crossAx val="23556055"/>
        <c:crosses val="autoZero"/>
        <c:crossBetween val="between"/>
      </c:valAx>
    </c:plotArea>
    <c:plotVisOnly val="1"/>
    <c:dispBlanksAs val="gap"/>
    <c:showDLblsOverMax val="0"/>
    <c:extLst/>
  </c:chart>
  <c:spPr>
    <a:noFill/>
    <a:ln w="9525" cap="flat" cmpd="sng" algn="ctr">
      <a:noFill/>
      <a:round/>
    </a:ln>
    <a:effectLst/>
  </c:spPr>
  <c:txPr>
    <a:bodyPr/>
    <a:lstStyle/>
    <a:p>
      <a:pPr>
        <a:defRPr sz="1800" b="0">
          <a:latin typeface="Abadi" panose="020B0604020104020204" pitchFamily="34" charset="0"/>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t" anchorCtr="1"/>
          <a:lstStyle/>
          <a:p>
            <a:pPr>
              <a:defRPr sz="1800" b="0" i="0" u="none" strike="noStrike" kern="1200" spc="0" baseline="0">
                <a:solidFill>
                  <a:schemeClr val="tx1">
                    <a:lumMod val="65000"/>
                    <a:lumOff val="35000"/>
                  </a:schemeClr>
                </a:solidFill>
                <a:latin typeface="Abadi" panose="020B0604020104020204" pitchFamily="34" charset="0"/>
                <a:ea typeface="+mn-ea"/>
                <a:cs typeface="+mn-cs"/>
              </a:defRPr>
            </a:pPr>
            <a:r>
              <a:rPr lang="en-US"/>
              <a:t>Business Critical Fail Rate %</a:t>
            </a:r>
          </a:p>
        </c:rich>
      </c:tx>
      <c:overlay val="0"/>
      <c:spPr>
        <a:noFill/>
        <a:ln>
          <a:noFill/>
        </a:ln>
        <a:effectLst/>
      </c:spPr>
    </c:title>
    <c:autoTitleDeleted val="0"/>
    <c:plotArea>
      <c:layout>
        <c:manualLayout>
          <c:layoutTarget val="inner"/>
          <c:xMode val="edge"/>
          <c:yMode val="edge"/>
          <c:x val="1.6120906801007556E-2"/>
          <c:y val="3.7688894974125635E-2"/>
          <c:w val="0.95566750629722919"/>
          <c:h val="0.82787448935166863"/>
        </c:manualLayout>
      </c:layout>
      <c:barChart>
        <c:barDir val="col"/>
        <c:grouping val="clustered"/>
        <c:varyColors val="0"/>
        <c:ser>
          <c:idx val="2"/>
          <c:order val="0"/>
          <c:tx>
            <c:v>Business Critical Fail Rate %</c:v>
          </c:tx>
          <c:spPr>
            <a:gradFill>
              <a:gsLst>
                <a:gs pos="100000">
                  <a:srgbClr val="FD6363"/>
                </a:gs>
                <a:gs pos="0">
                  <a:srgbClr val="FDA1A1"/>
                </a:gs>
              </a:gsLst>
              <a:lin ang="5400000" scaled="1"/>
            </a:gradFill>
            <a:ln>
              <a:noFill/>
            </a:ln>
            <a:effectLst/>
          </c:spPr>
          <c:invertIfNegative val="0"/>
          <c:dPt>
            <c:idx val="1"/>
            <c:invertIfNegative val="0"/>
            <c:bubble3D val="0"/>
            <c:spPr>
              <a:gradFill>
                <a:gsLst>
                  <a:gs pos="100000">
                    <a:srgbClr val="F48B17"/>
                  </a:gs>
                  <a:gs pos="0">
                    <a:srgbClr val="FFD7AB"/>
                  </a:gs>
                </a:gsLst>
                <a:lin ang="5400000" scaled="1"/>
              </a:gradFill>
              <a:ln>
                <a:noFill/>
              </a:ln>
              <a:effectLst/>
            </c:spPr>
            <c:extLst>
              <c:ext xmlns:c16="http://schemas.microsoft.com/office/drawing/2014/chart" uri="{C3380CC4-5D6E-409C-BE32-E72D297353CC}">
                <c16:uniqueId val="{00000027-C5E8-4FB3-A167-EA99BDBB8FFD}"/>
              </c:ext>
            </c:extLst>
          </c:dPt>
          <c:dPt>
            <c:idx val="2"/>
            <c:invertIfNegative val="0"/>
            <c:bubble3D val="0"/>
            <c:spPr>
              <a:gradFill>
                <a:gsLst>
                  <a:gs pos="100000">
                    <a:srgbClr val="FFDD70"/>
                  </a:gs>
                  <a:gs pos="0">
                    <a:srgbClr val="FFF2CC"/>
                  </a:gs>
                </a:gsLst>
                <a:lin ang="5400000" scaled="1"/>
              </a:gradFill>
              <a:ln>
                <a:noFill/>
              </a:ln>
              <a:effectLst/>
            </c:spPr>
            <c:extLst>
              <c:ext xmlns:c16="http://schemas.microsoft.com/office/drawing/2014/chart" uri="{C3380CC4-5D6E-409C-BE32-E72D297353CC}">
                <c16:uniqueId val="{00000029-C5E8-4FB3-A167-EA99BDBB8FFD}"/>
              </c:ext>
            </c:extLst>
          </c:dPt>
          <c:dPt>
            <c:idx val="3"/>
            <c:invertIfNegative val="0"/>
            <c:bubble3D val="0"/>
            <c:spPr>
              <a:gradFill>
                <a:gsLst>
                  <a:gs pos="100000">
                    <a:srgbClr val="8AB8E2"/>
                  </a:gs>
                  <a:gs pos="0">
                    <a:srgbClr val="DEEBF7"/>
                  </a:gs>
                </a:gsLst>
                <a:lin ang="5400000" scaled="1"/>
              </a:gradFill>
              <a:ln>
                <a:noFill/>
              </a:ln>
              <a:effectLst/>
            </c:spPr>
            <c:extLst>
              <c:ext xmlns:c16="http://schemas.microsoft.com/office/drawing/2014/chart" uri="{C3380CC4-5D6E-409C-BE32-E72D297353CC}">
                <c16:uniqueId val="{0000002B-C5E8-4FB3-A167-EA99BDBB8FFD}"/>
              </c:ext>
            </c:extLst>
          </c:dPt>
          <c:dPt>
            <c:idx val="4"/>
            <c:invertIfNegative val="0"/>
            <c:bubble3D val="0"/>
            <c:spPr>
              <a:gradFill>
                <a:gsLst>
                  <a:gs pos="100000">
                    <a:srgbClr val="FFFE92"/>
                  </a:gs>
                  <a:gs pos="0">
                    <a:srgbClr val="FFF3CC"/>
                  </a:gs>
                </a:gsLst>
                <a:lin ang="5400000" scaled="1"/>
              </a:gradFill>
              <a:ln>
                <a:noFill/>
              </a:ln>
              <a:effectLst/>
            </c:spPr>
            <c:extLst>
              <c:ext xmlns:c16="http://schemas.microsoft.com/office/drawing/2014/chart" uri="{C3380CC4-5D6E-409C-BE32-E72D297353CC}">
                <c16:uniqueId val="{0000002D-C5E8-4FB3-A167-EA99BDBB8FFD}"/>
              </c:ext>
            </c:extLst>
          </c:dPt>
          <c:dPt>
            <c:idx val="5"/>
            <c:invertIfNegative val="0"/>
            <c:bubble3D val="0"/>
            <c:spPr>
              <a:gradFill>
                <a:gsLst>
                  <a:gs pos="100000">
                    <a:srgbClr val="FD7B7B"/>
                  </a:gs>
                  <a:gs pos="0">
                    <a:srgbClr val="FEC2C2"/>
                  </a:gs>
                </a:gsLst>
                <a:lin ang="5400000" scaled="1"/>
              </a:gradFill>
              <a:ln>
                <a:noFill/>
              </a:ln>
              <a:effectLst/>
            </c:spPr>
            <c:extLst>
              <c:ext xmlns:c16="http://schemas.microsoft.com/office/drawing/2014/chart" uri="{C3380CC4-5D6E-409C-BE32-E72D297353CC}">
                <c16:uniqueId val="{0000002F-C5E8-4FB3-A167-EA99BDBB8FFD}"/>
              </c:ext>
            </c:extLst>
          </c:dPt>
          <c:dLbls>
            <c:spPr>
              <a:noFill/>
              <a:ln>
                <a:noFill/>
              </a:ln>
              <a:effectLst/>
            </c:spPr>
            <c:txPr>
              <a:bodyPr rot="0" spcFirstLastPara="1" vertOverflow="ellipsis" vert="horz" wrap="square" anchor="ctr" anchorCtr="1"/>
              <a:lstStyle/>
              <a:p>
                <a:pPr>
                  <a:defRPr sz="1600" b="0" i="0" u="none" strike="noStrike" kern="1200" baseline="0">
                    <a:solidFill>
                      <a:schemeClr val="tx1">
                        <a:lumMod val="75000"/>
                        <a:lumOff val="25000"/>
                      </a:schemeClr>
                    </a:solidFill>
                    <a:latin typeface="Abadi" panose="020B0604020104020204"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[0]!MOM_Month</c:f>
              <c:strCache>
                <c:ptCount val="6"/>
                <c:pt idx="0">
                  <c:v>Jun</c:v>
                </c:pt>
                <c:pt idx="1">
                  <c:v>Jul</c:v>
                </c:pt>
                <c:pt idx="2">
                  <c:v>Aug</c:v>
                </c:pt>
                <c:pt idx="3">
                  <c:v>Sep</c:v>
                </c:pt>
                <c:pt idx="4">
                  <c:v>Oct</c:v>
                </c:pt>
                <c:pt idx="5">
                  <c:v>Nov</c:v>
                </c:pt>
              </c:strCache>
            </c:strRef>
          </c:cat>
          <c:val>
            <c:numRef>
              <c:f>[0]!MOM_Business</c:f>
              <c:numCache>
                <c:formatCode>0%</c:formatCode>
                <c:ptCount val="6"/>
                <c:pt idx="0">
                  <c:v>1</c:v>
                </c:pt>
                <c:pt idx="1">
                  <c:v>1</c:v>
                </c:pt>
                <c:pt idx="2">
                  <c:v>1</c:v>
                </c:pt>
                <c:pt idx="3">
                  <c:v>1</c:v>
                </c:pt>
                <c:pt idx="4">
                  <c:v>0.12698412698412698</c:v>
                </c:pt>
                <c:pt idx="5">
                  <c:v>0.16326530612244897</c:v>
                </c:pt>
              </c:numCache>
            </c:numRef>
          </c:val>
          <c:extLst>
            <c:ext xmlns:c16="http://schemas.microsoft.com/office/drawing/2014/chart" uri="{C3380CC4-5D6E-409C-BE32-E72D297353CC}">
              <c16:uniqueId val="{00000030-C5E8-4FB3-A167-EA99BDBB8FFD}"/>
            </c:ext>
          </c:extLst>
        </c:ser>
        <c:dLbls>
          <c:dLblPos val="ctr"/>
          <c:showLegendKey val="0"/>
          <c:showVal val="1"/>
          <c:showCatName val="0"/>
          <c:showSerName val="0"/>
          <c:showPercent val="0"/>
          <c:showBubbleSize val="0"/>
        </c:dLbls>
        <c:gapWidth val="50"/>
        <c:axId val="23556055"/>
        <c:axId val="23555727"/>
      </c:barChart>
      <c:catAx>
        <c:axId val="235560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Abadi" panose="020B0604020104020204" pitchFamily="34" charset="0"/>
                <a:ea typeface="+mn-ea"/>
                <a:cs typeface="+mn-cs"/>
              </a:defRPr>
            </a:pPr>
            <a:endParaRPr lang="en-US"/>
          </a:p>
        </c:txPr>
        <c:crossAx val="23555727"/>
        <c:crosses val="autoZero"/>
        <c:auto val="1"/>
        <c:lblAlgn val="ctr"/>
        <c:lblOffset val="100"/>
        <c:noMultiLvlLbl val="0"/>
      </c:catAx>
      <c:valAx>
        <c:axId val="23555727"/>
        <c:scaling>
          <c:orientation val="minMax"/>
          <c:min val="0"/>
        </c:scaling>
        <c:delete val="1"/>
        <c:axPos val="l"/>
        <c:numFmt formatCode="0%" sourceLinked="1"/>
        <c:majorTickMark val="out"/>
        <c:minorTickMark val="none"/>
        <c:tickLblPos val="nextTo"/>
        <c:crossAx val="23556055"/>
        <c:crosses val="autoZero"/>
        <c:crossBetween val="between"/>
      </c:valAx>
    </c:plotArea>
    <c:plotVisOnly val="1"/>
    <c:dispBlanksAs val="gap"/>
    <c:showDLblsOverMax val="0"/>
    <c:extLst/>
  </c:chart>
  <c:spPr>
    <a:noFill/>
    <a:ln w="9525" cap="flat" cmpd="sng" algn="ctr">
      <a:noFill/>
      <a:round/>
    </a:ln>
    <a:effectLst/>
  </c:spPr>
  <c:txPr>
    <a:bodyPr/>
    <a:lstStyle/>
    <a:p>
      <a:pPr>
        <a:defRPr sz="1800" b="0">
          <a:latin typeface="Abadi" panose="020B0604020104020204" pitchFamily="34" charset="0"/>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t" anchorCtr="1"/>
          <a:lstStyle/>
          <a:p>
            <a:pPr>
              <a:defRPr sz="1800" b="0" i="0" u="none" strike="noStrike" kern="1200" spc="0" baseline="0">
                <a:solidFill>
                  <a:schemeClr val="tx1">
                    <a:lumMod val="65000"/>
                    <a:lumOff val="35000"/>
                  </a:schemeClr>
                </a:solidFill>
                <a:latin typeface="Abadi" panose="020B0604020104020204" pitchFamily="34" charset="0"/>
                <a:ea typeface="+mn-ea"/>
                <a:cs typeface="+mn-cs"/>
              </a:defRPr>
            </a:pPr>
            <a:r>
              <a:rPr lang="en-US"/>
              <a:t>Overall Fail Rate %</a:t>
            </a:r>
          </a:p>
        </c:rich>
      </c:tx>
      <c:overlay val="0"/>
      <c:spPr>
        <a:noFill/>
        <a:ln>
          <a:noFill/>
        </a:ln>
        <a:effectLst/>
      </c:spPr>
    </c:title>
    <c:autoTitleDeleted val="0"/>
    <c:plotArea>
      <c:layout>
        <c:manualLayout>
          <c:layoutTarget val="inner"/>
          <c:xMode val="edge"/>
          <c:yMode val="edge"/>
          <c:x val="1.6120906801007556E-2"/>
          <c:y val="3.7688894974125635E-2"/>
          <c:w val="0.95566750629722919"/>
          <c:h val="0.82787448935166863"/>
        </c:manualLayout>
      </c:layout>
      <c:barChart>
        <c:barDir val="col"/>
        <c:grouping val="clustered"/>
        <c:varyColors val="0"/>
        <c:ser>
          <c:idx val="2"/>
          <c:order val="0"/>
          <c:tx>
            <c:v>Overall Fail Rate %</c:v>
          </c:tx>
          <c:spPr>
            <a:gradFill>
              <a:gsLst>
                <a:gs pos="100000">
                  <a:srgbClr val="FD6363"/>
                </a:gs>
                <a:gs pos="0">
                  <a:srgbClr val="FDA1A1"/>
                </a:gs>
              </a:gsLst>
              <a:lin ang="5400000" scaled="1"/>
            </a:gradFill>
            <a:ln>
              <a:noFill/>
            </a:ln>
            <a:effectLst/>
          </c:spPr>
          <c:invertIfNegative val="0"/>
          <c:dPt>
            <c:idx val="1"/>
            <c:invertIfNegative val="0"/>
            <c:bubble3D val="0"/>
            <c:spPr>
              <a:gradFill>
                <a:gsLst>
                  <a:gs pos="100000">
                    <a:srgbClr val="F48B17"/>
                  </a:gs>
                  <a:gs pos="0">
                    <a:srgbClr val="FFD7AB"/>
                  </a:gs>
                </a:gsLst>
                <a:lin ang="5400000" scaled="1"/>
              </a:gradFill>
              <a:ln>
                <a:noFill/>
              </a:ln>
              <a:effectLst/>
            </c:spPr>
            <c:extLst>
              <c:ext xmlns:c16="http://schemas.microsoft.com/office/drawing/2014/chart" uri="{C3380CC4-5D6E-409C-BE32-E72D297353CC}">
                <c16:uniqueId val="{00000017-7295-4F8F-ACAD-7CA2BE485E2A}"/>
              </c:ext>
            </c:extLst>
          </c:dPt>
          <c:dPt>
            <c:idx val="2"/>
            <c:invertIfNegative val="0"/>
            <c:bubble3D val="0"/>
            <c:spPr>
              <a:gradFill>
                <a:gsLst>
                  <a:gs pos="100000">
                    <a:srgbClr val="FFDD70"/>
                  </a:gs>
                  <a:gs pos="0">
                    <a:srgbClr val="FFF2CC"/>
                  </a:gs>
                </a:gsLst>
                <a:lin ang="5400000" scaled="1"/>
              </a:gradFill>
              <a:ln>
                <a:noFill/>
              </a:ln>
              <a:effectLst/>
            </c:spPr>
            <c:extLst>
              <c:ext xmlns:c16="http://schemas.microsoft.com/office/drawing/2014/chart" uri="{C3380CC4-5D6E-409C-BE32-E72D297353CC}">
                <c16:uniqueId val="{00000019-7295-4F8F-ACAD-7CA2BE485E2A}"/>
              </c:ext>
            </c:extLst>
          </c:dPt>
          <c:dPt>
            <c:idx val="3"/>
            <c:invertIfNegative val="0"/>
            <c:bubble3D val="0"/>
            <c:spPr>
              <a:gradFill>
                <a:gsLst>
                  <a:gs pos="100000">
                    <a:srgbClr val="8AB8E2"/>
                  </a:gs>
                  <a:gs pos="0">
                    <a:srgbClr val="DEEBF7"/>
                  </a:gs>
                </a:gsLst>
                <a:lin ang="5400000" scaled="1"/>
              </a:gradFill>
              <a:ln>
                <a:noFill/>
              </a:ln>
              <a:effectLst/>
            </c:spPr>
            <c:extLst>
              <c:ext xmlns:c16="http://schemas.microsoft.com/office/drawing/2014/chart" uri="{C3380CC4-5D6E-409C-BE32-E72D297353CC}">
                <c16:uniqueId val="{0000001B-7295-4F8F-ACAD-7CA2BE485E2A}"/>
              </c:ext>
            </c:extLst>
          </c:dPt>
          <c:dPt>
            <c:idx val="4"/>
            <c:invertIfNegative val="0"/>
            <c:bubble3D val="0"/>
            <c:spPr>
              <a:gradFill>
                <a:gsLst>
                  <a:gs pos="100000">
                    <a:srgbClr val="FFFE92"/>
                  </a:gs>
                  <a:gs pos="0">
                    <a:srgbClr val="FFF3CC"/>
                  </a:gs>
                </a:gsLst>
                <a:lin ang="5400000" scaled="1"/>
              </a:gradFill>
              <a:ln>
                <a:noFill/>
              </a:ln>
              <a:effectLst/>
            </c:spPr>
            <c:extLst>
              <c:ext xmlns:c16="http://schemas.microsoft.com/office/drawing/2014/chart" uri="{C3380CC4-5D6E-409C-BE32-E72D297353CC}">
                <c16:uniqueId val="{0000001D-7295-4F8F-ACAD-7CA2BE485E2A}"/>
              </c:ext>
            </c:extLst>
          </c:dPt>
          <c:dPt>
            <c:idx val="5"/>
            <c:invertIfNegative val="0"/>
            <c:bubble3D val="0"/>
            <c:spPr>
              <a:gradFill>
                <a:gsLst>
                  <a:gs pos="100000">
                    <a:srgbClr val="FD7B7B"/>
                  </a:gs>
                  <a:gs pos="0">
                    <a:srgbClr val="FEC2C2"/>
                  </a:gs>
                </a:gsLst>
                <a:lin ang="5400000" scaled="1"/>
              </a:gradFill>
              <a:ln>
                <a:noFill/>
              </a:ln>
              <a:effectLst/>
            </c:spPr>
            <c:extLst>
              <c:ext xmlns:c16="http://schemas.microsoft.com/office/drawing/2014/chart" uri="{C3380CC4-5D6E-409C-BE32-E72D297353CC}">
                <c16:uniqueId val="{0000001F-7295-4F8F-ACAD-7CA2BE485E2A}"/>
              </c:ext>
            </c:extLst>
          </c:dPt>
          <c:dLbls>
            <c:spPr>
              <a:noFill/>
              <a:ln>
                <a:noFill/>
              </a:ln>
              <a:effectLst/>
            </c:spPr>
            <c:txPr>
              <a:bodyPr rot="0" spcFirstLastPara="1" vertOverflow="ellipsis" vert="horz" wrap="square" anchor="ctr" anchorCtr="1"/>
              <a:lstStyle/>
              <a:p>
                <a:pPr>
                  <a:defRPr sz="1600" b="0" i="0" u="none" strike="noStrike" kern="1200" baseline="0">
                    <a:solidFill>
                      <a:schemeClr val="tx1">
                        <a:lumMod val="75000"/>
                        <a:lumOff val="25000"/>
                      </a:schemeClr>
                    </a:solidFill>
                    <a:latin typeface="Abadi" panose="020B0604020104020204"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[0]!MOM_Month</c:f>
              <c:strCache>
                <c:ptCount val="6"/>
                <c:pt idx="0">
                  <c:v>Jun</c:v>
                </c:pt>
                <c:pt idx="1">
                  <c:v>Jul</c:v>
                </c:pt>
                <c:pt idx="2">
                  <c:v>Aug</c:v>
                </c:pt>
                <c:pt idx="3">
                  <c:v>Sep</c:v>
                </c:pt>
                <c:pt idx="4">
                  <c:v>Oct</c:v>
                </c:pt>
                <c:pt idx="5">
                  <c:v>Nov</c:v>
                </c:pt>
              </c:strCache>
            </c:strRef>
          </c:cat>
          <c:val>
            <c:numRef>
              <c:f>[0]!MOM_Attribute</c:f>
              <c:numCache>
                <c:formatCode>0%</c:formatCode>
                <c:ptCount val="6"/>
                <c:pt idx="0">
                  <c:v>1</c:v>
                </c:pt>
                <c:pt idx="1">
                  <c:v>1</c:v>
                </c:pt>
                <c:pt idx="2">
                  <c:v>1</c:v>
                </c:pt>
                <c:pt idx="3">
                  <c:v>1</c:v>
                </c:pt>
                <c:pt idx="4">
                  <c:v>0.15873015873015872</c:v>
                </c:pt>
                <c:pt idx="5">
                  <c:v>0.15306122448979592</c:v>
                </c:pt>
              </c:numCache>
            </c:numRef>
          </c:val>
          <c:extLst>
            <c:ext xmlns:c16="http://schemas.microsoft.com/office/drawing/2014/chart" uri="{C3380CC4-5D6E-409C-BE32-E72D297353CC}">
              <c16:uniqueId val="{00000020-7295-4F8F-ACAD-7CA2BE485E2A}"/>
            </c:ext>
          </c:extLst>
        </c:ser>
        <c:dLbls>
          <c:dLblPos val="ctr"/>
          <c:showLegendKey val="0"/>
          <c:showVal val="1"/>
          <c:showCatName val="0"/>
          <c:showSerName val="0"/>
          <c:showPercent val="0"/>
          <c:showBubbleSize val="0"/>
        </c:dLbls>
        <c:gapWidth val="50"/>
        <c:axId val="23556055"/>
        <c:axId val="23555727"/>
      </c:barChart>
      <c:catAx>
        <c:axId val="235560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Abadi" panose="020B0604020104020204" pitchFamily="34" charset="0"/>
                <a:ea typeface="+mn-ea"/>
                <a:cs typeface="+mn-cs"/>
              </a:defRPr>
            </a:pPr>
            <a:endParaRPr lang="en-US"/>
          </a:p>
        </c:txPr>
        <c:crossAx val="23555727"/>
        <c:crosses val="autoZero"/>
        <c:auto val="1"/>
        <c:lblAlgn val="ctr"/>
        <c:lblOffset val="100"/>
        <c:noMultiLvlLbl val="0"/>
      </c:catAx>
      <c:valAx>
        <c:axId val="23555727"/>
        <c:scaling>
          <c:orientation val="minMax"/>
          <c:min val="0"/>
        </c:scaling>
        <c:delete val="1"/>
        <c:axPos val="l"/>
        <c:numFmt formatCode="0%" sourceLinked="1"/>
        <c:majorTickMark val="out"/>
        <c:minorTickMark val="none"/>
        <c:tickLblPos val="nextTo"/>
        <c:crossAx val="23556055"/>
        <c:crosses val="autoZero"/>
        <c:crossBetween val="between"/>
      </c:valAx>
    </c:plotArea>
    <c:plotVisOnly val="1"/>
    <c:dispBlanksAs val="gap"/>
    <c:showDLblsOverMax val="0"/>
    <c:extLst/>
  </c:chart>
  <c:spPr>
    <a:noFill/>
    <a:ln w="9525" cap="flat" cmpd="sng" algn="ctr">
      <a:noFill/>
      <a:round/>
    </a:ln>
    <a:effectLst/>
  </c:spPr>
  <c:txPr>
    <a:bodyPr/>
    <a:lstStyle/>
    <a:p>
      <a:pPr>
        <a:defRPr sz="1800" b="0">
          <a:latin typeface="Abadi" panose="020B0604020104020204" pitchFamily="34" charset="0"/>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t" anchorCtr="1"/>
          <a:lstStyle/>
          <a:p>
            <a:pPr>
              <a:defRPr sz="1800" b="0" i="0" u="none" strike="noStrike" kern="1200" spc="0" baseline="0">
                <a:solidFill>
                  <a:schemeClr val="tx1">
                    <a:lumMod val="65000"/>
                    <a:lumOff val="35000"/>
                  </a:schemeClr>
                </a:solidFill>
                <a:latin typeface="Abadi" panose="020B0604020104020204" pitchFamily="34" charset="0"/>
                <a:ea typeface="+mn-ea"/>
                <a:cs typeface="+mn-cs"/>
              </a:defRPr>
            </a:pPr>
            <a:r>
              <a:rPr lang="en-US"/>
              <a:t>Customer Centric Fail Rate %</a:t>
            </a:r>
          </a:p>
        </c:rich>
      </c:tx>
      <c:overlay val="0"/>
      <c:spPr>
        <a:noFill/>
        <a:ln>
          <a:noFill/>
        </a:ln>
        <a:effectLst/>
      </c:spPr>
    </c:title>
    <c:autoTitleDeleted val="0"/>
    <c:plotArea>
      <c:layout>
        <c:manualLayout>
          <c:layoutTarget val="inner"/>
          <c:xMode val="edge"/>
          <c:yMode val="edge"/>
          <c:x val="1.6120906801007556E-2"/>
          <c:y val="3.7688894974125635E-2"/>
          <c:w val="0.95566750629722919"/>
          <c:h val="0.82787448935166863"/>
        </c:manualLayout>
      </c:layout>
      <c:barChart>
        <c:barDir val="col"/>
        <c:grouping val="clustered"/>
        <c:varyColors val="0"/>
        <c:ser>
          <c:idx val="2"/>
          <c:order val="0"/>
          <c:tx>
            <c:v>Customer Centric Fail Rate %</c:v>
          </c:tx>
          <c:spPr>
            <a:gradFill>
              <a:gsLst>
                <a:gs pos="100000">
                  <a:srgbClr val="FD6363"/>
                </a:gs>
                <a:gs pos="0">
                  <a:srgbClr val="FDA1A1"/>
                </a:gs>
              </a:gsLst>
              <a:lin ang="5400000" scaled="1"/>
            </a:gradFill>
            <a:ln>
              <a:noFill/>
            </a:ln>
            <a:effectLst/>
          </c:spPr>
          <c:invertIfNegative val="0"/>
          <c:dPt>
            <c:idx val="1"/>
            <c:invertIfNegative val="0"/>
            <c:bubble3D val="0"/>
            <c:spPr>
              <a:gradFill>
                <a:gsLst>
                  <a:gs pos="100000">
                    <a:srgbClr val="FFAB4F"/>
                  </a:gs>
                  <a:gs pos="0">
                    <a:srgbClr val="FFEDD9"/>
                  </a:gs>
                </a:gsLst>
                <a:lin ang="5400000" scaled="1"/>
              </a:gradFill>
              <a:ln>
                <a:noFill/>
              </a:ln>
              <a:effectLst/>
            </c:spPr>
            <c:extLst>
              <c:ext xmlns:c16="http://schemas.microsoft.com/office/drawing/2014/chart" uri="{C3380CC4-5D6E-409C-BE32-E72D297353CC}">
                <c16:uniqueId val="{00000009-4B1A-4F19-914B-2801FA1DB6E5}"/>
              </c:ext>
            </c:extLst>
          </c:dPt>
          <c:dPt>
            <c:idx val="2"/>
            <c:invertIfNegative val="0"/>
            <c:bubble3D val="0"/>
            <c:spPr>
              <a:gradFill>
                <a:gsLst>
                  <a:gs pos="100000">
                    <a:srgbClr val="FFE697"/>
                  </a:gs>
                  <a:gs pos="0">
                    <a:srgbClr val="FFFAEB"/>
                  </a:gs>
                </a:gsLst>
                <a:lin ang="5400000" scaled="1"/>
              </a:gradFill>
              <a:ln>
                <a:noFill/>
              </a:ln>
              <a:effectLst/>
            </c:spPr>
            <c:extLst>
              <c:ext xmlns:c16="http://schemas.microsoft.com/office/drawing/2014/chart" uri="{C3380CC4-5D6E-409C-BE32-E72D297353CC}">
                <c16:uniqueId val="{0000000B-4B1A-4F19-914B-2801FA1DB6E5}"/>
              </c:ext>
            </c:extLst>
          </c:dPt>
          <c:dPt>
            <c:idx val="3"/>
            <c:invertIfNegative val="0"/>
            <c:bubble3D val="0"/>
            <c:spPr>
              <a:gradFill>
                <a:gsLst>
                  <a:gs pos="100000">
                    <a:srgbClr val="B9D4ED"/>
                  </a:gs>
                  <a:gs pos="0">
                    <a:srgbClr val="EFF5FB"/>
                  </a:gs>
                </a:gsLst>
                <a:lin ang="5400000" scaled="1"/>
              </a:gradFill>
              <a:ln>
                <a:noFill/>
              </a:ln>
              <a:effectLst/>
            </c:spPr>
            <c:extLst>
              <c:ext xmlns:c16="http://schemas.microsoft.com/office/drawing/2014/chart" uri="{C3380CC4-5D6E-409C-BE32-E72D297353CC}">
                <c16:uniqueId val="{0000000D-4B1A-4F19-914B-2801FA1DB6E5}"/>
              </c:ext>
            </c:extLst>
          </c:dPt>
          <c:dPt>
            <c:idx val="4"/>
            <c:invertIfNegative val="0"/>
            <c:bubble3D val="0"/>
            <c:spPr>
              <a:gradFill>
                <a:gsLst>
                  <a:gs pos="100000">
                    <a:srgbClr val="FFFFA7"/>
                  </a:gs>
                  <a:gs pos="0">
                    <a:srgbClr val="FFF8E5"/>
                  </a:gs>
                </a:gsLst>
                <a:lin ang="5400000" scaled="1"/>
              </a:gradFill>
              <a:ln>
                <a:noFill/>
              </a:ln>
              <a:effectLst/>
            </c:spPr>
            <c:extLst>
              <c:ext xmlns:c16="http://schemas.microsoft.com/office/drawing/2014/chart" uri="{C3380CC4-5D6E-409C-BE32-E72D297353CC}">
                <c16:uniqueId val="{0000000F-4B1A-4F19-914B-2801FA1DB6E5}"/>
              </c:ext>
            </c:extLst>
          </c:dPt>
          <c:dPt>
            <c:idx val="5"/>
            <c:invertIfNegative val="0"/>
            <c:bubble3D val="0"/>
            <c:spPr>
              <a:gradFill>
                <a:gsLst>
                  <a:gs pos="100000">
                    <a:srgbClr val="FEA4A4"/>
                  </a:gs>
                  <a:gs pos="0">
                    <a:srgbClr val="FEE8E8"/>
                  </a:gs>
                </a:gsLst>
                <a:lin ang="5400000" scaled="1"/>
              </a:gradFill>
              <a:ln>
                <a:noFill/>
              </a:ln>
              <a:effectLst/>
            </c:spPr>
            <c:extLst>
              <c:ext xmlns:c16="http://schemas.microsoft.com/office/drawing/2014/chart" uri="{C3380CC4-5D6E-409C-BE32-E72D297353CC}">
                <c16:uniqueId val="{00000011-4B1A-4F19-914B-2801FA1DB6E5}"/>
              </c:ext>
            </c:extLst>
          </c:dPt>
          <c:dLbls>
            <c:spPr>
              <a:noFill/>
              <a:ln>
                <a:noFill/>
              </a:ln>
              <a:effectLst/>
            </c:spPr>
            <c:txPr>
              <a:bodyPr rot="0" spcFirstLastPara="1" vertOverflow="ellipsis" vert="horz" wrap="square" anchor="ctr" anchorCtr="1"/>
              <a:lstStyle/>
              <a:p>
                <a:pPr>
                  <a:defRPr sz="1600" b="0" i="0" u="none" strike="noStrike" kern="1200" baseline="0">
                    <a:solidFill>
                      <a:schemeClr val="tx1">
                        <a:lumMod val="75000"/>
                        <a:lumOff val="25000"/>
                      </a:schemeClr>
                    </a:solidFill>
                    <a:latin typeface="Abadi" panose="020B0604020104020204"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[0]!WOW_Week</c:f>
              <c:numCache>
                <c:formatCode>General</c:formatCode>
                <c:ptCount val="6"/>
                <c:pt idx="0">
                  <c:v>32</c:v>
                </c:pt>
                <c:pt idx="1">
                  <c:v>36</c:v>
                </c:pt>
                <c:pt idx="2">
                  <c:v>44</c:v>
                </c:pt>
                <c:pt idx="3">
                  <c:v>45</c:v>
                </c:pt>
                <c:pt idx="4">
                  <c:v>46</c:v>
                </c:pt>
                <c:pt idx="5">
                  <c:v>48</c:v>
                </c:pt>
              </c:numCache>
            </c:numRef>
          </c:cat>
          <c:val>
            <c:numRef>
              <c:f>[0]!WOW_Compliance</c:f>
              <c:numCache>
                <c:formatCode>0%</c:formatCode>
                <c:ptCount val="6"/>
                <c:pt idx="0">
                  <c:v>1</c:v>
                </c:pt>
                <c:pt idx="1">
                  <c:v>1</c:v>
                </c:pt>
                <c:pt idx="2">
                  <c:v>9.2592592592592587E-2</c:v>
                </c:pt>
                <c:pt idx="3">
                  <c:v>5.6603773584905662E-2</c:v>
                </c:pt>
                <c:pt idx="4">
                  <c:v>7.5471698113207544E-2</c:v>
                </c:pt>
                <c:pt idx="5">
                  <c:v>0</c:v>
                </c:pt>
              </c:numCache>
            </c:numRef>
          </c:val>
          <c:extLst>
            <c:ext xmlns:c16="http://schemas.microsoft.com/office/drawing/2014/chart" uri="{C3380CC4-5D6E-409C-BE32-E72D297353CC}">
              <c16:uniqueId val="{00000012-4B1A-4F19-914B-2801FA1DB6E5}"/>
            </c:ext>
          </c:extLst>
        </c:ser>
        <c:dLbls>
          <c:dLblPos val="ctr"/>
          <c:showLegendKey val="0"/>
          <c:showVal val="1"/>
          <c:showCatName val="0"/>
          <c:showSerName val="0"/>
          <c:showPercent val="0"/>
          <c:showBubbleSize val="0"/>
        </c:dLbls>
        <c:gapWidth val="50"/>
        <c:axId val="23556055"/>
        <c:axId val="23555727"/>
      </c:barChart>
      <c:catAx>
        <c:axId val="235560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Abadi" panose="020B0604020104020204" pitchFamily="34" charset="0"/>
                <a:ea typeface="+mn-ea"/>
                <a:cs typeface="+mn-cs"/>
              </a:defRPr>
            </a:pPr>
            <a:endParaRPr lang="en-US"/>
          </a:p>
        </c:txPr>
        <c:crossAx val="23555727"/>
        <c:crosses val="autoZero"/>
        <c:auto val="1"/>
        <c:lblAlgn val="ctr"/>
        <c:lblOffset val="100"/>
        <c:noMultiLvlLbl val="0"/>
      </c:catAx>
      <c:valAx>
        <c:axId val="23555727"/>
        <c:scaling>
          <c:orientation val="minMax"/>
          <c:min val="0"/>
        </c:scaling>
        <c:delete val="1"/>
        <c:axPos val="l"/>
        <c:numFmt formatCode="0%" sourceLinked="1"/>
        <c:majorTickMark val="out"/>
        <c:minorTickMark val="none"/>
        <c:tickLblPos val="nextTo"/>
        <c:crossAx val="23556055"/>
        <c:crosses val="autoZero"/>
        <c:crossBetween val="between"/>
      </c:valAx>
    </c:plotArea>
    <c:plotVisOnly val="1"/>
    <c:dispBlanksAs val="gap"/>
    <c:showDLblsOverMax val="0"/>
    <c:extLst/>
  </c:chart>
  <c:spPr>
    <a:noFill/>
    <a:ln w="9525" cap="flat" cmpd="sng" algn="ctr">
      <a:noFill/>
      <a:round/>
    </a:ln>
    <a:effectLst/>
  </c:spPr>
  <c:txPr>
    <a:bodyPr/>
    <a:lstStyle/>
    <a:p>
      <a:pPr>
        <a:defRPr sz="1800" b="0">
          <a:latin typeface="Abadi" panose="020B0604020104020204" pitchFamily="34" charset="0"/>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t" anchorCtr="1"/>
          <a:lstStyle/>
          <a:p>
            <a:pPr>
              <a:defRPr sz="1800" b="0" i="0" u="none" strike="noStrike" kern="1200" spc="0" baseline="0">
                <a:solidFill>
                  <a:schemeClr val="tx1">
                    <a:lumMod val="65000"/>
                    <a:lumOff val="35000"/>
                  </a:schemeClr>
                </a:solidFill>
                <a:latin typeface="Abadi" panose="020B0604020104020204" pitchFamily="34" charset="0"/>
                <a:ea typeface="+mn-ea"/>
                <a:cs typeface="+mn-cs"/>
              </a:defRPr>
            </a:pPr>
            <a:r>
              <a:rPr lang="en-US"/>
              <a:t>Business Critical Fail Rate %</a:t>
            </a:r>
          </a:p>
        </c:rich>
      </c:tx>
      <c:overlay val="0"/>
      <c:spPr>
        <a:noFill/>
        <a:ln>
          <a:noFill/>
        </a:ln>
        <a:effectLst/>
      </c:spPr>
    </c:title>
    <c:autoTitleDeleted val="0"/>
    <c:plotArea>
      <c:layout>
        <c:manualLayout>
          <c:layoutTarget val="inner"/>
          <c:xMode val="edge"/>
          <c:yMode val="edge"/>
          <c:x val="1.6120906801007556E-2"/>
          <c:y val="3.7688894974125635E-2"/>
          <c:w val="0.95566750629722919"/>
          <c:h val="0.82787448935166863"/>
        </c:manualLayout>
      </c:layout>
      <c:barChart>
        <c:barDir val="col"/>
        <c:grouping val="clustered"/>
        <c:varyColors val="0"/>
        <c:ser>
          <c:idx val="2"/>
          <c:order val="0"/>
          <c:tx>
            <c:v>Business Critical Fail Rate %</c:v>
          </c:tx>
          <c:spPr>
            <a:gradFill>
              <a:gsLst>
                <a:gs pos="100000">
                  <a:srgbClr val="FD6363"/>
                </a:gs>
                <a:gs pos="0">
                  <a:srgbClr val="FDA1A1"/>
                </a:gs>
              </a:gsLst>
              <a:lin ang="5400000" scaled="1"/>
            </a:gradFill>
            <a:ln>
              <a:noFill/>
            </a:ln>
            <a:effectLst/>
          </c:spPr>
          <c:invertIfNegative val="0"/>
          <c:dPt>
            <c:idx val="1"/>
            <c:invertIfNegative val="0"/>
            <c:bubble3D val="0"/>
            <c:spPr>
              <a:gradFill>
                <a:gsLst>
                  <a:gs pos="100000">
                    <a:srgbClr val="FFAB4F"/>
                  </a:gs>
                  <a:gs pos="0">
                    <a:srgbClr val="FFEDD9"/>
                  </a:gs>
                </a:gsLst>
                <a:lin ang="5400000" scaled="1"/>
              </a:gradFill>
              <a:ln>
                <a:noFill/>
              </a:ln>
              <a:effectLst/>
            </c:spPr>
            <c:extLst>
              <c:ext xmlns:c16="http://schemas.microsoft.com/office/drawing/2014/chart" uri="{C3380CC4-5D6E-409C-BE32-E72D297353CC}">
                <c16:uniqueId val="{00000009-510D-44EB-A009-618DD07FADF1}"/>
              </c:ext>
            </c:extLst>
          </c:dPt>
          <c:dPt>
            <c:idx val="2"/>
            <c:invertIfNegative val="0"/>
            <c:bubble3D val="0"/>
            <c:spPr>
              <a:gradFill>
                <a:gsLst>
                  <a:gs pos="100000">
                    <a:srgbClr val="FFE697"/>
                  </a:gs>
                  <a:gs pos="0">
                    <a:srgbClr val="FFFAEB"/>
                  </a:gs>
                </a:gsLst>
                <a:lin ang="5400000" scaled="1"/>
              </a:gradFill>
              <a:ln>
                <a:noFill/>
              </a:ln>
              <a:effectLst/>
            </c:spPr>
            <c:extLst>
              <c:ext xmlns:c16="http://schemas.microsoft.com/office/drawing/2014/chart" uri="{C3380CC4-5D6E-409C-BE32-E72D297353CC}">
                <c16:uniqueId val="{0000000B-510D-44EB-A009-618DD07FADF1}"/>
              </c:ext>
            </c:extLst>
          </c:dPt>
          <c:dPt>
            <c:idx val="3"/>
            <c:invertIfNegative val="0"/>
            <c:bubble3D val="0"/>
            <c:spPr>
              <a:gradFill>
                <a:gsLst>
                  <a:gs pos="100000">
                    <a:srgbClr val="B9D4ED"/>
                  </a:gs>
                  <a:gs pos="0">
                    <a:srgbClr val="EFF5FB"/>
                  </a:gs>
                </a:gsLst>
                <a:lin ang="5400000" scaled="1"/>
              </a:gradFill>
              <a:ln>
                <a:noFill/>
              </a:ln>
              <a:effectLst/>
            </c:spPr>
            <c:extLst>
              <c:ext xmlns:c16="http://schemas.microsoft.com/office/drawing/2014/chart" uri="{C3380CC4-5D6E-409C-BE32-E72D297353CC}">
                <c16:uniqueId val="{0000000D-510D-44EB-A009-618DD07FADF1}"/>
              </c:ext>
            </c:extLst>
          </c:dPt>
          <c:dPt>
            <c:idx val="4"/>
            <c:invertIfNegative val="0"/>
            <c:bubble3D val="0"/>
            <c:spPr>
              <a:gradFill>
                <a:gsLst>
                  <a:gs pos="100000">
                    <a:srgbClr val="FFFFA7"/>
                  </a:gs>
                  <a:gs pos="0">
                    <a:srgbClr val="FFF8E5"/>
                  </a:gs>
                </a:gsLst>
                <a:lin ang="5400000" scaled="1"/>
              </a:gradFill>
              <a:ln>
                <a:noFill/>
              </a:ln>
              <a:effectLst/>
            </c:spPr>
            <c:extLst>
              <c:ext xmlns:c16="http://schemas.microsoft.com/office/drawing/2014/chart" uri="{C3380CC4-5D6E-409C-BE32-E72D297353CC}">
                <c16:uniqueId val="{0000000F-510D-44EB-A009-618DD07FADF1}"/>
              </c:ext>
            </c:extLst>
          </c:dPt>
          <c:dPt>
            <c:idx val="5"/>
            <c:invertIfNegative val="0"/>
            <c:bubble3D val="0"/>
            <c:spPr>
              <a:gradFill>
                <a:gsLst>
                  <a:gs pos="100000">
                    <a:srgbClr val="FEA4A4"/>
                  </a:gs>
                  <a:gs pos="0">
                    <a:srgbClr val="FEE8E8"/>
                  </a:gs>
                </a:gsLst>
                <a:lin ang="5400000" scaled="1"/>
              </a:gradFill>
              <a:ln>
                <a:noFill/>
              </a:ln>
              <a:effectLst/>
            </c:spPr>
            <c:extLst>
              <c:ext xmlns:c16="http://schemas.microsoft.com/office/drawing/2014/chart" uri="{C3380CC4-5D6E-409C-BE32-E72D297353CC}">
                <c16:uniqueId val="{00000011-510D-44EB-A009-618DD07FADF1}"/>
              </c:ext>
            </c:extLst>
          </c:dPt>
          <c:dLbls>
            <c:spPr>
              <a:noFill/>
              <a:ln>
                <a:noFill/>
              </a:ln>
              <a:effectLst/>
            </c:spPr>
            <c:txPr>
              <a:bodyPr rot="0" spcFirstLastPara="1" vertOverflow="ellipsis" vert="horz" wrap="square" anchor="ctr" anchorCtr="1"/>
              <a:lstStyle/>
              <a:p>
                <a:pPr>
                  <a:defRPr sz="1600" b="0" i="0" u="none" strike="noStrike" kern="1200" baseline="0">
                    <a:solidFill>
                      <a:schemeClr val="tx1">
                        <a:lumMod val="75000"/>
                        <a:lumOff val="25000"/>
                      </a:schemeClr>
                    </a:solidFill>
                    <a:latin typeface="Abadi" panose="020B0604020104020204"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[0]!WOW_Week</c:f>
              <c:numCache>
                <c:formatCode>General</c:formatCode>
                <c:ptCount val="6"/>
                <c:pt idx="0">
                  <c:v>32</c:v>
                </c:pt>
                <c:pt idx="1">
                  <c:v>36</c:v>
                </c:pt>
                <c:pt idx="2">
                  <c:v>44</c:v>
                </c:pt>
                <c:pt idx="3">
                  <c:v>45</c:v>
                </c:pt>
                <c:pt idx="4">
                  <c:v>46</c:v>
                </c:pt>
                <c:pt idx="5">
                  <c:v>48</c:v>
                </c:pt>
              </c:numCache>
            </c:numRef>
          </c:cat>
          <c:val>
            <c:numRef>
              <c:f>[0]!WOW_Business</c:f>
              <c:numCache>
                <c:formatCode>0%</c:formatCode>
                <c:ptCount val="6"/>
                <c:pt idx="0">
                  <c:v>1</c:v>
                </c:pt>
                <c:pt idx="1">
                  <c:v>1</c:v>
                </c:pt>
                <c:pt idx="2">
                  <c:v>0.12962962962962962</c:v>
                </c:pt>
                <c:pt idx="3">
                  <c:v>0.16981132075471697</c:v>
                </c:pt>
                <c:pt idx="4">
                  <c:v>0.15094339622641509</c:v>
                </c:pt>
                <c:pt idx="5">
                  <c:v>0</c:v>
                </c:pt>
              </c:numCache>
            </c:numRef>
          </c:val>
          <c:extLst>
            <c:ext xmlns:c16="http://schemas.microsoft.com/office/drawing/2014/chart" uri="{C3380CC4-5D6E-409C-BE32-E72D297353CC}">
              <c16:uniqueId val="{00000012-510D-44EB-A009-618DD07FADF1}"/>
            </c:ext>
          </c:extLst>
        </c:ser>
        <c:dLbls>
          <c:dLblPos val="ctr"/>
          <c:showLegendKey val="0"/>
          <c:showVal val="1"/>
          <c:showCatName val="0"/>
          <c:showSerName val="0"/>
          <c:showPercent val="0"/>
          <c:showBubbleSize val="0"/>
        </c:dLbls>
        <c:gapWidth val="50"/>
        <c:axId val="23556055"/>
        <c:axId val="23555727"/>
      </c:barChart>
      <c:catAx>
        <c:axId val="235560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Abadi" panose="020B0604020104020204" pitchFamily="34" charset="0"/>
                <a:ea typeface="+mn-ea"/>
                <a:cs typeface="+mn-cs"/>
              </a:defRPr>
            </a:pPr>
            <a:endParaRPr lang="en-US"/>
          </a:p>
        </c:txPr>
        <c:crossAx val="23555727"/>
        <c:crosses val="autoZero"/>
        <c:auto val="1"/>
        <c:lblAlgn val="ctr"/>
        <c:lblOffset val="100"/>
        <c:noMultiLvlLbl val="0"/>
      </c:catAx>
      <c:valAx>
        <c:axId val="23555727"/>
        <c:scaling>
          <c:orientation val="minMax"/>
          <c:min val="0"/>
        </c:scaling>
        <c:delete val="1"/>
        <c:axPos val="l"/>
        <c:numFmt formatCode="0%" sourceLinked="1"/>
        <c:majorTickMark val="out"/>
        <c:minorTickMark val="none"/>
        <c:tickLblPos val="nextTo"/>
        <c:crossAx val="23556055"/>
        <c:crosses val="autoZero"/>
        <c:crossBetween val="between"/>
      </c:valAx>
    </c:plotArea>
    <c:plotVisOnly val="1"/>
    <c:dispBlanksAs val="gap"/>
    <c:showDLblsOverMax val="0"/>
    <c:extLst/>
  </c:chart>
  <c:spPr>
    <a:noFill/>
    <a:ln w="9525" cap="flat" cmpd="sng" algn="ctr">
      <a:noFill/>
      <a:round/>
    </a:ln>
    <a:effectLst/>
  </c:spPr>
  <c:txPr>
    <a:bodyPr/>
    <a:lstStyle/>
    <a:p>
      <a:pPr>
        <a:defRPr sz="1800" b="0">
          <a:latin typeface="Abadi" panose="020B0604020104020204" pitchFamily="34" charset="0"/>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t" anchorCtr="1"/>
          <a:lstStyle/>
          <a:p>
            <a:pPr>
              <a:defRPr sz="1800" b="0" i="0" u="none" strike="noStrike" kern="1200" spc="0" baseline="0">
                <a:solidFill>
                  <a:schemeClr val="tx1">
                    <a:lumMod val="65000"/>
                    <a:lumOff val="35000"/>
                  </a:schemeClr>
                </a:solidFill>
                <a:latin typeface="Abadi" panose="020B0604020104020204" pitchFamily="34" charset="0"/>
                <a:ea typeface="+mn-ea"/>
                <a:cs typeface="+mn-cs"/>
              </a:defRPr>
            </a:pPr>
            <a:r>
              <a:rPr lang="en-US"/>
              <a:t>Overall Fail Rate %</a:t>
            </a:r>
          </a:p>
        </c:rich>
      </c:tx>
      <c:overlay val="0"/>
      <c:spPr>
        <a:noFill/>
        <a:ln>
          <a:noFill/>
        </a:ln>
        <a:effectLst/>
      </c:spPr>
    </c:title>
    <c:autoTitleDeleted val="0"/>
    <c:plotArea>
      <c:layout>
        <c:manualLayout>
          <c:layoutTarget val="inner"/>
          <c:xMode val="edge"/>
          <c:yMode val="edge"/>
          <c:x val="1.6120906801007556E-2"/>
          <c:y val="3.7688894974125635E-2"/>
          <c:w val="0.95566750629722919"/>
          <c:h val="0.82787448935166863"/>
        </c:manualLayout>
      </c:layout>
      <c:barChart>
        <c:barDir val="col"/>
        <c:grouping val="clustered"/>
        <c:varyColors val="0"/>
        <c:ser>
          <c:idx val="2"/>
          <c:order val="0"/>
          <c:tx>
            <c:v>Overall Fail Rate %</c:v>
          </c:tx>
          <c:spPr>
            <a:gradFill>
              <a:gsLst>
                <a:gs pos="100000">
                  <a:srgbClr val="FD6363"/>
                </a:gs>
                <a:gs pos="0">
                  <a:srgbClr val="FDA1A1"/>
                </a:gs>
              </a:gsLst>
              <a:lin ang="5400000" scaled="1"/>
            </a:gradFill>
            <a:ln>
              <a:noFill/>
            </a:ln>
            <a:effectLst/>
          </c:spPr>
          <c:invertIfNegative val="0"/>
          <c:dPt>
            <c:idx val="1"/>
            <c:invertIfNegative val="0"/>
            <c:bubble3D val="0"/>
            <c:spPr>
              <a:gradFill>
                <a:gsLst>
                  <a:gs pos="100000">
                    <a:srgbClr val="FFAB4F"/>
                  </a:gs>
                  <a:gs pos="0">
                    <a:srgbClr val="FFEDD9"/>
                  </a:gs>
                </a:gsLst>
                <a:lin ang="5400000" scaled="1"/>
              </a:gradFill>
              <a:ln>
                <a:noFill/>
              </a:ln>
              <a:effectLst/>
            </c:spPr>
            <c:extLst>
              <c:ext xmlns:c16="http://schemas.microsoft.com/office/drawing/2014/chart" uri="{C3380CC4-5D6E-409C-BE32-E72D297353CC}">
                <c16:uniqueId val="{00000009-DCBC-4FAE-AE6B-95F2CD9D40B3}"/>
              </c:ext>
            </c:extLst>
          </c:dPt>
          <c:dPt>
            <c:idx val="2"/>
            <c:invertIfNegative val="0"/>
            <c:bubble3D val="0"/>
            <c:spPr>
              <a:gradFill>
                <a:gsLst>
                  <a:gs pos="100000">
                    <a:srgbClr val="FFE697"/>
                  </a:gs>
                  <a:gs pos="0">
                    <a:srgbClr val="FFFAEB"/>
                  </a:gs>
                </a:gsLst>
                <a:lin ang="5400000" scaled="1"/>
              </a:gradFill>
              <a:ln>
                <a:noFill/>
              </a:ln>
              <a:effectLst/>
            </c:spPr>
            <c:extLst>
              <c:ext xmlns:c16="http://schemas.microsoft.com/office/drawing/2014/chart" uri="{C3380CC4-5D6E-409C-BE32-E72D297353CC}">
                <c16:uniqueId val="{0000000B-DCBC-4FAE-AE6B-95F2CD9D40B3}"/>
              </c:ext>
            </c:extLst>
          </c:dPt>
          <c:dPt>
            <c:idx val="3"/>
            <c:invertIfNegative val="0"/>
            <c:bubble3D val="0"/>
            <c:spPr>
              <a:gradFill>
                <a:gsLst>
                  <a:gs pos="100000">
                    <a:srgbClr val="B9D4ED"/>
                  </a:gs>
                  <a:gs pos="0">
                    <a:srgbClr val="EFF5FB"/>
                  </a:gs>
                </a:gsLst>
                <a:lin ang="5400000" scaled="1"/>
              </a:gradFill>
              <a:ln>
                <a:noFill/>
              </a:ln>
              <a:effectLst/>
            </c:spPr>
            <c:extLst>
              <c:ext xmlns:c16="http://schemas.microsoft.com/office/drawing/2014/chart" uri="{C3380CC4-5D6E-409C-BE32-E72D297353CC}">
                <c16:uniqueId val="{0000000D-DCBC-4FAE-AE6B-95F2CD9D40B3}"/>
              </c:ext>
            </c:extLst>
          </c:dPt>
          <c:dPt>
            <c:idx val="4"/>
            <c:invertIfNegative val="0"/>
            <c:bubble3D val="0"/>
            <c:spPr>
              <a:gradFill>
                <a:gsLst>
                  <a:gs pos="100000">
                    <a:srgbClr val="FFFFA7"/>
                  </a:gs>
                  <a:gs pos="0">
                    <a:srgbClr val="FFF8E5"/>
                  </a:gs>
                </a:gsLst>
                <a:lin ang="5400000" scaled="1"/>
              </a:gradFill>
              <a:ln>
                <a:noFill/>
              </a:ln>
              <a:effectLst/>
            </c:spPr>
            <c:extLst>
              <c:ext xmlns:c16="http://schemas.microsoft.com/office/drawing/2014/chart" uri="{C3380CC4-5D6E-409C-BE32-E72D297353CC}">
                <c16:uniqueId val="{0000000F-DCBC-4FAE-AE6B-95F2CD9D40B3}"/>
              </c:ext>
            </c:extLst>
          </c:dPt>
          <c:dPt>
            <c:idx val="5"/>
            <c:invertIfNegative val="0"/>
            <c:bubble3D val="0"/>
            <c:spPr>
              <a:gradFill>
                <a:gsLst>
                  <a:gs pos="100000">
                    <a:srgbClr val="FEA4A4"/>
                  </a:gs>
                  <a:gs pos="0">
                    <a:srgbClr val="FEE8E8"/>
                  </a:gs>
                </a:gsLst>
                <a:lin ang="5400000" scaled="1"/>
              </a:gradFill>
              <a:ln>
                <a:noFill/>
              </a:ln>
              <a:effectLst/>
            </c:spPr>
            <c:extLst>
              <c:ext xmlns:c16="http://schemas.microsoft.com/office/drawing/2014/chart" uri="{C3380CC4-5D6E-409C-BE32-E72D297353CC}">
                <c16:uniqueId val="{00000011-DCBC-4FAE-AE6B-95F2CD9D40B3}"/>
              </c:ext>
            </c:extLst>
          </c:dPt>
          <c:dLbls>
            <c:spPr>
              <a:noFill/>
              <a:ln>
                <a:noFill/>
              </a:ln>
              <a:effectLst/>
            </c:spPr>
            <c:txPr>
              <a:bodyPr rot="0" spcFirstLastPara="1" vertOverflow="ellipsis" vert="horz" wrap="square" anchor="ctr" anchorCtr="1"/>
              <a:lstStyle/>
              <a:p>
                <a:pPr>
                  <a:defRPr sz="1600" b="0" i="0" u="none" strike="noStrike" kern="1200" baseline="0">
                    <a:solidFill>
                      <a:schemeClr val="tx1">
                        <a:lumMod val="75000"/>
                        <a:lumOff val="25000"/>
                      </a:schemeClr>
                    </a:solidFill>
                    <a:latin typeface="Abadi" panose="020B0604020104020204"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[0]!WOW_Week</c:f>
              <c:numCache>
                <c:formatCode>General</c:formatCode>
                <c:ptCount val="6"/>
                <c:pt idx="0">
                  <c:v>32</c:v>
                </c:pt>
                <c:pt idx="1">
                  <c:v>36</c:v>
                </c:pt>
                <c:pt idx="2">
                  <c:v>44</c:v>
                </c:pt>
                <c:pt idx="3">
                  <c:v>45</c:v>
                </c:pt>
                <c:pt idx="4">
                  <c:v>46</c:v>
                </c:pt>
                <c:pt idx="5">
                  <c:v>48</c:v>
                </c:pt>
              </c:numCache>
            </c:numRef>
          </c:cat>
          <c:val>
            <c:numRef>
              <c:f>[0]!WOW_Attribute</c:f>
              <c:numCache>
                <c:formatCode>0%</c:formatCode>
                <c:ptCount val="6"/>
                <c:pt idx="0">
                  <c:v>1</c:v>
                </c:pt>
                <c:pt idx="1">
                  <c:v>1</c:v>
                </c:pt>
                <c:pt idx="2">
                  <c:v>0.16666666666666666</c:v>
                </c:pt>
                <c:pt idx="3">
                  <c:v>0.16981132075471697</c:v>
                </c:pt>
                <c:pt idx="4">
                  <c:v>0.13207547169811321</c:v>
                </c:pt>
                <c:pt idx="5">
                  <c:v>0</c:v>
                </c:pt>
              </c:numCache>
            </c:numRef>
          </c:val>
          <c:extLst>
            <c:ext xmlns:c16="http://schemas.microsoft.com/office/drawing/2014/chart" uri="{C3380CC4-5D6E-409C-BE32-E72D297353CC}">
              <c16:uniqueId val="{00000012-DCBC-4FAE-AE6B-95F2CD9D40B3}"/>
            </c:ext>
          </c:extLst>
        </c:ser>
        <c:dLbls>
          <c:dLblPos val="ctr"/>
          <c:showLegendKey val="0"/>
          <c:showVal val="1"/>
          <c:showCatName val="0"/>
          <c:showSerName val="0"/>
          <c:showPercent val="0"/>
          <c:showBubbleSize val="0"/>
        </c:dLbls>
        <c:gapWidth val="50"/>
        <c:axId val="23556055"/>
        <c:axId val="23555727"/>
      </c:barChart>
      <c:catAx>
        <c:axId val="235560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Abadi" panose="020B0604020104020204" pitchFamily="34" charset="0"/>
                <a:ea typeface="+mn-ea"/>
                <a:cs typeface="+mn-cs"/>
              </a:defRPr>
            </a:pPr>
            <a:endParaRPr lang="en-US"/>
          </a:p>
        </c:txPr>
        <c:crossAx val="23555727"/>
        <c:crosses val="autoZero"/>
        <c:auto val="1"/>
        <c:lblAlgn val="ctr"/>
        <c:lblOffset val="100"/>
        <c:noMultiLvlLbl val="0"/>
      </c:catAx>
      <c:valAx>
        <c:axId val="23555727"/>
        <c:scaling>
          <c:orientation val="minMax"/>
          <c:min val="0"/>
        </c:scaling>
        <c:delete val="1"/>
        <c:axPos val="l"/>
        <c:numFmt formatCode="0%" sourceLinked="1"/>
        <c:majorTickMark val="out"/>
        <c:minorTickMark val="none"/>
        <c:tickLblPos val="nextTo"/>
        <c:crossAx val="23556055"/>
        <c:crosses val="autoZero"/>
        <c:crossBetween val="between"/>
      </c:valAx>
    </c:plotArea>
    <c:plotVisOnly val="1"/>
    <c:dispBlanksAs val="gap"/>
    <c:showDLblsOverMax val="0"/>
    <c:extLst/>
  </c:chart>
  <c:spPr>
    <a:noFill/>
    <a:ln w="9525" cap="flat" cmpd="sng" algn="ctr">
      <a:noFill/>
      <a:round/>
    </a:ln>
    <a:effectLst/>
  </c:spPr>
  <c:txPr>
    <a:bodyPr/>
    <a:lstStyle/>
    <a:p>
      <a:pPr>
        <a:defRPr sz="1800" b="0">
          <a:latin typeface="Abadi" panose="020B0604020104020204" pitchFamily="34" charset="0"/>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ivotFmts>
      <c:pivotFmt>
        <c:idx val="0"/>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gradFill>
            <a:gsLst>
              <a:gs pos="100000">
                <a:srgbClr val="4CEBF3"/>
              </a:gs>
              <a:gs pos="0">
                <a:srgbClr val="D4FAFC"/>
              </a:gs>
            </a:gsLst>
            <a:lin ang="2700000" scaled="0"/>
          </a:gradFill>
          <a:ln w="19050">
            <a:solidFill>
              <a:schemeClr val="lt1"/>
            </a:solidFill>
          </a:ln>
          <a:effectLst/>
        </c:spPr>
      </c:pivotFmt>
      <c:pivotFmt>
        <c:idx val="2"/>
        <c:spPr>
          <a:gradFill>
            <a:gsLst>
              <a:gs pos="0">
                <a:schemeClr val="bg1">
                  <a:lumMod val="50000"/>
                </a:schemeClr>
              </a:gs>
              <a:gs pos="100000">
                <a:schemeClr val="accent1">
                  <a:lumMod val="30000"/>
                  <a:lumOff val="70000"/>
                </a:schemeClr>
              </a:gs>
            </a:gsLst>
            <a:lin ang="5400000" scaled="1"/>
          </a:gradFill>
          <a:ln w="19050">
            <a:solidFill>
              <a:schemeClr val="lt1"/>
            </a:solidFill>
          </a:ln>
          <a:effectLst/>
        </c:spPr>
      </c:pivotFmt>
      <c:pivotFmt>
        <c:idx val="3"/>
        <c:spPr>
          <a:gradFill>
            <a:gsLst>
              <a:gs pos="0">
                <a:srgbClr val="FF0000"/>
              </a:gs>
              <a:gs pos="100000">
                <a:srgbClr val="FDA1A1"/>
              </a:gs>
            </a:gsLst>
            <a:lin ang="2700000" scaled="0"/>
          </a:gradFill>
          <a:ln w="19050">
            <a:solidFill>
              <a:schemeClr val="lt1"/>
            </a:solidFill>
          </a:ln>
          <a:effectLst/>
        </c:spPr>
      </c:pivotFmt>
      <c:pivotFmt>
        <c:idx val="4"/>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gradFill>
            <a:gsLst>
              <a:gs pos="100000">
                <a:srgbClr val="4CEBF3"/>
              </a:gs>
              <a:gs pos="0">
                <a:srgbClr val="D4FAFC"/>
              </a:gs>
            </a:gsLst>
            <a:lin ang="2700000" scaled="0"/>
          </a:gradFill>
          <a:ln w="19050">
            <a:solidFill>
              <a:schemeClr val="lt1"/>
            </a:solidFill>
          </a:ln>
          <a:effectLst/>
        </c:spPr>
      </c:pivotFmt>
      <c:pivotFmt>
        <c:idx val="6"/>
        <c:spPr>
          <a:gradFill>
            <a:gsLst>
              <a:gs pos="0">
                <a:schemeClr val="bg1">
                  <a:lumMod val="50000"/>
                </a:schemeClr>
              </a:gs>
              <a:gs pos="100000">
                <a:schemeClr val="accent1">
                  <a:lumMod val="30000"/>
                  <a:lumOff val="70000"/>
                </a:schemeClr>
              </a:gs>
            </a:gsLst>
            <a:lin ang="5400000" scaled="1"/>
          </a:gradFill>
          <a:ln w="19050">
            <a:solidFill>
              <a:schemeClr val="lt1"/>
            </a:solidFill>
          </a:ln>
          <a:effectLst/>
        </c:spPr>
      </c:pivotFmt>
      <c:pivotFmt>
        <c:idx val="7"/>
        <c:spPr>
          <a:gradFill>
            <a:gsLst>
              <a:gs pos="0">
                <a:srgbClr val="FF0000"/>
              </a:gs>
              <a:gs pos="100000">
                <a:srgbClr val="FDA1A1"/>
              </a:gs>
            </a:gsLst>
            <a:lin ang="2700000" scaled="0"/>
          </a:gra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Abadi" panose="020B0604020104020204" pitchFamily="34" charset="0"/>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Lst>
        </c:dLbl>
      </c:pivotFmt>
      <c:pivotFmt>
        <c:idx val="9"/>
        <c:spPr>
          <a:gradFill>
            <a:gsLst>
              <a:gs pos="100000">
                <a:srgbClr val="70AD47">
                  <a:lumMod val="75000"/>
                </a:srgbClr>
              </a:gs>
              <a:gs pos="0">
                <a:srgbClr val="70AD47">
                  <a:lumMod val="40000"/>
                  <a:lumOff val="60000"/>
                </a:srgbClr>
              </a:gs>
            </a:gsLst>
            <a:lin ang="2700000" scaled="0"/>
          </a:gradFill>
          <a:ln w="19050">
            <a:solidFill>
              <a:schemeClr val="lt1"/>
            </a:solidFill>
          </a:ln>
          <a:effectLst/>
        </c:spPr>
      </c:pivotFmt>
      <c:pivotFmt>
        <c:idx val="10"/>
        <c:spPr>
          <a:gradFill>
            <a:gsLst>
              <a:gs pos="0">
                <a:schemeClr val="bg1">
                  <a:lumMod val="50000"/>
                </a:schemeClr>
              </a:gs>
              <a:gs pos="100000">
                <a:schemeClr val="accent1">
                  <a:lumMod val="30000"/>
                  <a:lumOff val="70000"/>
                </a:schemeClr>
              </a:gs>
            </a:gsLst>
            <a:lin ang="5400000" scaled="1"/>
          </a:gradFill>
          <a:ln w="19050">
            <a:solidFill>
              <a:schemeClr val="lt1"/>
            </a:solidFill>
          </a:ln>
          <a:effectLst/>
        </c:spPr>
      </c:pivotFmt>
      <c:pivotFmt>
        <c:idx val="11"/>
        <c:spPr>
          <a:gradFill>
            <a:gsLst>
              <a:gs pos="0">
                <a:srgbClr val="FF0000"/>
              </a:gs>
              <a:gs pos="100000">
                <a:srgbClr val="FDA1A1"/>
              </a:gs>
            </a:gsLst>
            <a:lin ang="2700000" scaled="0"/>
          </a:gradFill>
          <a:ln w="19050">
            <a:solidFill>
              <a:schemeClr val="lt1"/>
            </a:solidFill>
          </a:ln>
          <a:effectLst/>
        </c:spPr>
      </c:pivotFmt>
    </c:pivotFmts>
    <c:plotArea>
      <c:layout>
        <c:manualLayout>
          <c:layoutTarget val="inner"/>
          <c:xMode val="edge"/>
          <c:yMode val="edge"/>
          <c:x val="0"/>
          <c:y val="1.3111111111111112E-2"/>
          <c:w val="0.98788888888888893"/>
          <c:h val="0.98688888888888893"/>
        </c:manualLayout>
      </c:layout>
      <c:doughnutChart>
        <c:varyColors val="1"/>
        <c:ser>
          <c:idx val="0"/>
          <c:order val="0"/>
          <c:tx>
            <c:v>Series1</c:v>
          </c:tx>
          <c:dPt>
            <c:idx val="0"/>
            <c:bubble3D val="0"/>
            <c:spPr>
              <a:gradFill>
                <a:gsLst>
                  <a:gs pos="100000">
                    <a:srgbClr val="70AD47">
                      <a:lumMod val="75000"/>
                    </a:srgbClr>
                  </a:gs>
                  <a:gs pos="0">
                    <a:srgbClr val="70AD47">
                      <a:lumMod val="40000"/>
                      <a:lumOff val="60000"/>
                    </a:srgbClr>
                  </a:gs>
                </a:gsLst>
                <a:lin ang="2700000" scaled="0"/>
              </a:gradFill>
              <a:ln w="19050">
                <a:solidFill>
                  <a:schemeClr val="lt1"/>
                </a:solidFill>
              </a:ln>
              <a:effectLst/>
            </c:spPr>
            <c:extLst>
              <c:ext xmlns:c16="http://schemas.microsoft.com/office/drawing/2014/chart" uri="{C3380CC4-5D6E-409C-BE32-E72D297353CC}">
                <c16:uniqueId val="{00000001-E640-4476-8A31-E6741491279D}"/>
              </c:ext>
            </c:extLst>
          </c:dPt>
          <c:dPt>
            <c:idx val="1"/>
            <c:bubble3D val="0"/>
            <c:spPr>
              <a:gradFill>
                <a:gsLst>
                  <a:gs pos="0">
                    <a:srgbClr val="FF0000"/>
                  </a:gs>
                  <a:gs pos="100000">
                    <a:srgbClr val="FDA1A1"/>
                  </a:gs>
                </a:gsLst>
                <a:lin ang="2700000" scaled="0"/>
              </a:gradFill>
              <a:ln w="19050">
                <a:solidFill>
                  <a:schemeClr val="lt1"/>
                </a:solidFill>
              </a:ln>
              <a:effectLst/>
            </c:spPr>
            <c:extLst>
              <c:ext xmlns:c16="http://schemas.microsoft.com/office/drawing/2014/chart" uri="{C3380CC4-5D6E-409C-BE32-E72D297353CC}">
                <c16:uniqueId val="{00000003-E640-4476-8A31-E6741491279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640-4476-8A31-E6741491279D}"/>
              </c:ext>
            </c:extLst>
          </c:dPt>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Abadi" panose="020B0604020104020204" pitchFamily="34" charset="0"/>
                    <a:ea typeface="+mn-ea"/>
                    <a:cs typeface="+mn-cs"/>
                  </a:defRPr>
                </a:pPr>
                <a:endParaRPr lang="en-US"/>
              </a:p>
            </c:txPr>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'Data Preparation'!$D$6:$D$7</c:f>
              <c:strCache>
                <c:ptCount val="2"/>
                <c:pt idx="0">
                  <c:v>P</c:v>
                </c:pt>
                <c:pt idx="1">
                  <c:v>F</c:v>
                </c:pt>
              </c:strCache>
            </c:strRef>
          </c:cat>
          <c:val>
            <c:numRef>
              <c:f>'Data Preparation'!$E$6:$E$7</c:f>
              <c:numCache>
                <c:formatCode>0%</c:formatCode>
                <c:ptCount val="2"/>
                <c:pt idx="0">
                  <c:v>0.84693877551020413</c:v>
                </c:pt>
                <c:pt idx="1">
                  <c:v>0.15306122448979592</c:v>
                </c:pt>
              </c:numCache>
            </c:numRef>
          </c:val>
          <c:extLst>
            <c:ext xmlns:c16="http://schemas.microsoft.com/office/drawing/2014/chart" uri="{C3380CC4-5D6E-409C-BE32-E72D297353CC}">
              <c16:uniqueId val="{00000006-E640-4476-8A31-E6741491279D}"/>
            </c:ext>
          </c:extLst>
        </c:ser>
        <c:ser>
          <c:idx val="1"/>
          <c:order val="1"/>
          <c:tx>
            <c:v>Target</c:v>
          </c:tx>
          <c:spPr>
            <a:ln>
              <a:noFill/>
            </a:ln>
          </c:spPr>
          <c:dPt>
            <c:idx val="0"/>
            <c:bubble3D val="0"/>
            <c:spPr>
              <a:noFill/>
              <a:ln w="19050">
                <a:noFill/>
              </a:ln>
              <a:effectLst/>
            </c:spPr>
            <c:extLst>
              <c:ext xmlns:c16="http://schemas.microsoft.com/office/drawing/2014/chart" uri="{C3380CC4-5D6E-409C-BE32-E72D297353CC}">
                <c16:uniqueId val="{00000008-E640-4476-8A31-E6741491279D}"/>
              </c:ext>
            </c:extLst>
          </c:dPt>
          <c:dPt>
            <c:idx val="1"/>
            <c:bubble3D val="0"/>
            <c:spPr>
              <a:gradFill>
                <a:gsLst>
                  <a:gs pos="0">
                    <a:srgbClr val="5B9BD5">
                      <a:lumMod val="75000"/>
                    </a:srgbClr>
                  </a:gs>
                  <a:gs pos="100000">
                    <a:srgbClr val="5B9BD5">
                      <a:lumMod val="60000"/>
                      <a:lumOff val="40000"/>
                    </a:srgbClr>
                  </a:gs>
                </a:gsLst>
                <a:lin ang="5400000" scaled="1"/>
              </a:gradFill>
              <a:ln w="19050">
                <a:noFill/>
              </a:ln>
              <a:effectLst/>
            </c:spPr>
            <c:extLst>
              <c:ext xmlns:c16="http://schemas.microsoft.com/office/drawing/2014/chart" uri="{C3380CC4-5D6E-409C-BE32-E72D297353CC}">
                <c16:uniqueId val="{0000000A-E640-4476-8A31-E6741491279D}"/>
              </c:ext>
            </c:extLst>
          </c:dPt>
          <c:dPt>
            <c:idx val="2"/>
            <c:bubble3D val="0"/>
            <c:spPr>
              <a:noFill/>
              <a:ln w="19050">
                <a:noFill/>
              </a:ln>
              <a:effectLst/>
            </c:spPr>
            <c:extLst>
              <c:ext xmlns:c16="http://schemas.microsoft.com/office/drawing/2014/chart" uri="{C3380CC4-5D6E-409C-BE32-E72D297353CC}">
                <c16:uniqueId val="{0000000C-E640-4476-8A31-E6741491279D}"/>
              </c:ext>
            </c:extLst>
          </c:dPt>
          <c:dLbls>
            <c:delete val="1"/>
          </c:dLbls>
          <c:val>
            <c:numRef>
              <c:f>'Data Preparation'!$T$4:$T$6</c:f>
              <c:numCache>
                <c:formatCode>0.0%</c:formatCode>
                <c:ptCount val="3"/>
                <c:pt idx="0">
                  <c:v>0.84250000000000003</c:v>
                </c:pt>
                <c:pt idx="1">
                  <c:v>1.4999999999999999E-2</c:v>
                </c:pt>
                <c:pt idx="2">
                  <c:v>0.14249999999999996</c:v>
                </c:pt>
              </c:numCache>
            </c:numRef>
          </c:val>
          <c:extLst>
            <c:ext xmlns:c16="http://schemas.microsoft.com/office/drawing/2014/chart" uri="{C3380CC4-5D6E-409C-BE32-E72D297353CC}">
              <c16:uniqueId val="{0000000D-E640-4476-8A31-E6741491279D}"/>
            </c:ext>
          </c:extLst>
        </c:ser>
        <c:dLbls>
          <c:showLegendKey val="0"/>
          <c:showVal val="1"/>
          <c:showCatName val="0"/>
          <c:showSerName val="0"/>
          <c:showPercent val="0"/>
          <c:showBubbleSize val="0"/>
          <c:showLeaderLines val="1"/>
        </c:dLbls>
        <c:firstSliceAng val="0"/>
        <c:holeSize val="50"/>
      </c:doughnutChart>
      <c:spPr>
        <a:noFill/>
        <a:ln>
          <a:noFill/>
        </a:ln>
        <a:effectLst/>
      </c:spPr>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6120906801007556E-2"/>
          <c:y val="3.6625810817763393E-2"/>
          <c:w val="0.95566750629722919"/>
          <c:h val="0.82893751486856515"/>
        </c:manualLayout>
      </c:layout>
      <c:barChart>
        <c:barDir val="col"/>
        <c:grouping val="clustered"/>
        <c:varyColors val="0"/>
        <c:ser>
          <c:idx val="2"/>
          <c:order val="0"/>
          <c:tx>
            <c:v>Top Failed Attributes</c:v>
          </c:tx>
          <c:spPr>
            <a:gradFill>
              <a:gsLst>
                <a:gs pos="100000">
                  <a:srgbClr val="FD6363"/>
                </a:gs>
                <a:gs pos="0">
                  <a:srgbClr val="FDA1A1"/>
                </a:gs>
              </a:gsLst>
              <a:lin ang="5400000" scaled="1"/>
            </a:gradFill>
            <a:ln>
              <a:noFill/>
            </a:ln>
            <a:effectLst/>
          </c:spPr>
          <c:invertIfNegative val="0"/>
          <c:dPt>
            <c:idx val="0"/>
            <c:invertIfNegative val="0"/>
            <c:bubble3D val="0"/>
            <c:spPr>
              <a:gradFill>
                <a:gsLst>
                  <a:gs pos="100000">
                    <a:srgbClr val="FD7272"/>
                  </a:gs>
                  <a:gs pos="0">
                    <a:srgbClr val="FDA1A1"/>
                  </a:gs>
                </a:gsLst>
                <a:lin ang="5400000" scaled="1"/>
              </a:gradFill>
              <a:ln>
                <a:noFill/>
              </a:ln>
              <a:effectLst/>
            </c:spPr>
            <c:extLst>
              <c:ext xmlns:c16="http://schemas.microsoft.com/office/drawing/2014/chart" uri="{C3380CC4-5D6E-409C-BE32-E72D297353CC}">
                <c16:uniqueId val="{00000021-0988-4658-8B9E-958D55F87418}"/>
              </c:ext>
            </c:extLst>
          </c:dPt>
          <c:dPt>
            <c:idx val="1"/>
            <c:invertIfNegative val="0"/>
            <c:bubble3D val="0"/>
            <c:spPr>
              <a:gradFill>
                <a:gsLst>
                  <a:gs pos="100000">
                    <a:srgbClr val="FFFF87"/>
                  </a:gs>
                  <a:gs pos="0">
                    <a:srgbClr val="FFF3CC"/>
                  </a:gs>
                </a:gsLst>
                <a:lin ang="5400000" scaled="1"/>
              </a:gradFill>
              <a:ln>
                <a:noFill/>
              </a:ln>
              <a:effectLst/>
            </c:spPr>
            <c:extLst>
              <c:ext xmlns:c16="http://schemas.microsoft.com/office/drawing/2014/chart" uri="{C3380CC4-5D6E-409C-BE32-E72D297353CC}">
                <c16:uniqueId val="{00000023-0988-4658-8B9E-958D55F87418}"/>
              </c:ext>
            </c:extLst>
          </c:dPt>
          <c:dPt>
            <c:idx val="2"/>
            <c:invertIfNegative val="0"/>
            <c:bubble3D val="0"/>
            <c:spPr>
              <a:gradFill>
                <a:gsLst>
                  <a:gs pos="100000">
                    <a:srgbClr val="7BB952"/>
                  </a:gs>
                  <a:gs pos="0">
                    <a:srgbClr val="C5E0B4"/>
                  </a:gs>
                </a:gsLst>
                <a:lin ang="5400000" scaled="1"/>
              </a:gradFill>
              <a:ln>
                <a:noFill/>
              </a:ln>
              <a:effectLst/>
            </c:spPr>
            <c:extLst>
              <c:ext xmlns:c16="http://schemas.microsoft.com/office/drawing/2014/chart" uri="{C3380CC4-5D6E-409C-BE32-E72D297353CC}">
                <c16:uniqueId val="{00000025-0988-4658-8B9E-958D55F87418}"/>
              </c:ext>
            </c:extLst>
          </c:dPt>
          <c:dLbls>
            <c:spPr>
              <a:noFill/>
              <a:ln>
                <a:noFill/>
              </a:ln>
              <a:effectLst/>
            </c:spPr>
            <c:txPr>
              <a:bodyPr rot="0" spcFirstLastPara="1" vertOverflow="ellipsis" vert="horz" wrap="square" anchor="ctr" anchorCtr="1"/>
              <a:lstStyle/>
              <a:p>
                <a:pPr>
                  <a:defRPr sz="1600" b="0" i="0" u="none" strike="noStrike" kern="1200" baseline="0">
                    <a:solidFill>
                      <a:schemeClr val="tx1">
                        <a:lumMod val="75000"/>
                        <a:lumOff val="25000"/>
                      </a:schemeClr>
                    </a:solidFill>
                    <a:latin typeface="Abadi" panose="020B0604020104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[0]!TopFailedAttributes</c:f>
              <c:strCache>
                <c:ptCount val="3"/>
                <c:pt idx="0">
                  <c:v>Resolution time</c:v>
                </c:pt>
                <c:pt idx="1">
                  <c:v>Accountability &amp; Ownership</c:v>
                </c:pt>
                <c:pt idx="2">
                  <c:v>Effective Inquiry</c:v>
                </c:pt>
              </c:strCache>
            </c:strRef>
          </c:cat>
          <c:val>
            <c:numRef>
              <c:f>[0]!TopFailedValues</c:f>
              <c:numCache>
                <c:formatCode>0.0%</c:formatCode>
                <c:ptCount val="3"/>
                <c:pt idx="0">
                  <c:v>7.4534161490683232E-2</c:v>
                </c:pt>
                <c:pt idx="1">
                  <c:v>6.8322981366459631E-2</c:v>
                </c:pt>
                <c:pt idx="2">
                  <c:v>1.8633540372670808E-2</c:v>
                </c:pt>
              </c:numCache>
            </c:numRef>
          </c:val>
          <c:extLst>
            <c:ext xmlns:c16="http://schemas.microsoft.com/office/drawing/2014/chart" uri="{C3380CC4-5D6E-409C-BE32-E72D297353CC}">
              <c16:uniqueId val="{0000002C-0988-4658-8B9E-958D55F87418}"/>
            </c:ext>
          </c:extLst>
        </c:ser>
        <c:dLbls>
          <c:dLblPos val="outEnd"/>
          <c:showLegendKey val="0"/>
          <c:showVal val="1"/>
          <c:showCatName val="0"/>
          <c:showSerName val="0"/>
          <c:showPercent val="0"/>
          <c:showBubbleSize val="0"/>
        </c:dLbls>
        <c:gapWidth val="50"/>
        <c:axId val="23556055"/>
        <c:axId val="23555727"/>
      </c:barChart>
      <c:catAx>
        <c:axId val="235560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Abadi" panose="020B0604020104020204" pitchFamily="34" charset="0"/>
                <a:ea typeface="+mn-ea"/>
                <a:cs typeface="+mn-cs"/>
              </a:defRPr>
            </a:pPr>
            <a:endParaRPr lang="en-US"/>
          </a:p>
        </c:txPr>
        <c:crossAx val="23555727"/>
        <c:crosses val="autoZero"/>
        <c:auto val="1"/>
        <c:lblAlgn val="ctr"/>
        <c:lblOffset val="100"/>
        <c:noMultiLvlLbl val="0"/>
      </c:catAx>
      <c:valAx>
        <c:axId val="23555727"/>
        <c:scaling>
          <c:orientation val="minMax"/>
          <c:min val="0"/>
        </c:scaling>
        <c:delete val="1"/>
        <c:axPos val="l"/>
        <c:numFmt formatCode="0.0%" sourceLinked="1"/>
        <c:majorTickMark val="out"/>
        <c:minorTickMark val="none"/>
        <c:tickLblPos val="nextTo"/>
        <c:crossAx val="23556055"/>
        <c:crosses val="autoZero"/>
        <c:crossBetween val="between"/>
      </c:valAx>
    </c:plotArea>
    <c:plotVisOnly val="1"/>
    <c:dispBlanksAs val="gap"/>
    <c:showDLblsOverMax val="0"/>
    <c:extLst/>
  </c:chart>
  <c:spPr>
    <a:noFill/>
    <a:ln w="9525" cap="flat" cmpd="sng" algn="ctr">
      <a:noFill/>
      <a:round/>
    </a:ln>
    <a:effectLst/>
  </c:spPr>
  <c:txPr>
    <a:bodyPr/>
    <a:lstStyle/>
    <a:p>
      <a:pPr>
        <a:defRPr sz="1800" b="0">
          <a:latin typeface="Abadi" panose="020B0604020104020204" pitchFamily="34" charset="0"/>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ivotFmts>
      <c:pivotFmt>
        <c:idx val="0"/>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gradFill>
            <a:gsLst>
              <a:gs pos="100000">
                <a:srgbClr val="4CEBF3"/>
              </a:gs>
              <a:gs pos="0">
                <a:srgbClr val="D4FAFC"/>
              </a:gs>
            </a:gsLst>
            <a:lin ang="2700000" scaled="0"/>
          </a:gradFill>
          <a:ln w="19050">
            <a:solidFill>
              <a:schemeClr val="lt1"/>
            </a:solidFill>
          </a:ln>
          <a:effectLst/>
        </c:spPr>
      </c:pivotFmt>
      <c:pivotFmt>
        <c:idx val="2"/>
        <c:spPr>
          <a:gradFill>
            <a:gsLst>
              <a:gs pos="0">
                <a:schemeClr val="bg1">
                  <a:lumMod val="50000"/>
                </a:schemeClr>
              </a:gs>
              <a:gs pos="100000">
                <a:schemeClr val="accent1">
                  <a:lumMod val="30000"/>
                  <a:lumOff val="70000"/>
                </a:schemeClr>
              </a:gs>
            </a:gsLst>
            <a:lin ang="5400000" scaled="1"/>
          </a:gradFill>
          <a:ln w="19050">
            <a:solidFill>
              <a:schemeClr val="lt1"/>
            </a:solidFill>
          </a:ln>
          <a:effectLst/>
        </c:spPr>
      </c:pivotFmt>
      <c:pivotFmt>
        <c:idx val="3"/>
        <c:spPr>
          <a:gradFill>
            <a:gsLst>
              <a:gs pos="0">
                <a:srgbClr val="FF0000"/>
              </a:gs>
              <a:gs pos="100000">
                <a:srgbClr val="FDA1A1"/>
              </a:gs>
            </a:gsLst>
            <a:lin ang="2700000" scaled="0"/>
          </a:gradFill>
          <a:ln w="19050">
            <a:solidFill>
              <a:schemeClr val="lt1"/>
            </a:solidFill>
          </a:ln>
          <a:effectLst/>
        </c:spPr>
      </c:pivotFmt>
      <c:pivotFmt>
        <c:idx val="4"/>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gradFill>
            <a:gsLst>
              <a:gs pos="100000">
                <a:srgbClr val="4CEBF3"/>
              </a:gs>
              <a:gs pos="0">
                <a:srgbClr val="D4FAFC"/>
              </a:gs>
            </a:gsLst>
            <a:lin ang="2700000" scaled="0"/>
          </a:gradFill>
          <a:ln w="19050">
            <a:solidFill>
              <a:schemeClr val="lt1"/>
            </a:solidFill>
          </a:ln>
          <a:effectLst/>
        </c:spPr>
      </c:pivotFmt>
      <c:pivotFmt>
        <c:idx val="6"/>
        <c:spPr>
          <a:gradFill>
            <a:gsLst>
              <a:gs pos="0">
                <a:schemeClr val="bg1">
                  <a:lumMod val="50000"/>
                </a:schemeClr>
              </a:gs>
              <a:gs pos="100000">
                <a:schemeClr val="accent1">
                  <a:lumMod val="30000"/>
                  <a:lumOff val="70000"/>
                </a:schemeClr>
              </a:gs>
            </a:gsLst>
            <a:lin ang="5400000" scaled="1"/>
          </a:gradFill>
          <a:ln w="19050">
            <a:solidFill>
              <a:schemeClr val="lt1"/>
            </a:solidFill>
          </a:ln>
          <a:effectLst/>
        </c:spPr>
      </c:pivotFmt>
      <c:pivotFmt>
        <c:idx val="7"/>
        <c:spPr>
          <a:gradFill>
            <a:gsLst>
              <a:gs pos="0">
                <a:srgbClr val="FF0000"/>
              </a:gs>
              <a:gs pos="100000">
                <a:srgbClr val="FDA1A1"/>
              </a:gs>
            </a:gsLst>
            <a:lin ang="2700000" scaled="0"/>
          </a:gra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Abadi" panose="020B0604020104020204" pitchFamily="34" charset="0"/>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Lst>
        </c:dLbl>
      </c:pivotFmt>
      <c:pivotFmt>
        <c:idx val="9"/>
        <c:spPr>
          <a:gradFill>
            <a:gsLst>
              <a:gs pos="100000">
                <a:srgbClr val="70AD47">
                  <a:lumMod val="75000"/>
                </a:srgbClr>
              </a:gs>
              <a:gs pos="0">
                <a:srgbClr val="70AD47">
                  <a:lumMod val="40000"/>
                  <a:lumOff val="60000"/>
                </a:srgbClr>
              </a:gs>
            </a:gsLst>
            <a:lin ang="2700000" scaled="0"/>
          </a:gradFill>
          <a:ln w="19050">
            <a:solidFill>
              <a:schemeClr val="lt1"/>
            </a:solidFill>
          </a:ln>
          <a:effectLst/>
        </c:spPr>
      </c:pivotFmt>
      <c:pivotFmt>
        <c:idx val="10"/>
        <c:spPr>
          <a:gradFill>
            <a:gsLst>
              <a:gs pos="0">
                <a:schemeClr val="bg1">
                  <a:lumMod val="50000"/>
                </a:schemeClr>
              </a:gs>
              <a:gs pos="100000">
                <a:schemeClr val="accent1">
                  <a:lumMod val="30000"/>
                  <a:lumOff val="70000"/>
                </a:schemeClr>
              </a:gs>
            </a:gsLst>
            <a:lin ang="5400000" scaled="1"/>
          </a:gradFill>
          <a:ln w="19050">
            <a:solidFill>
              <a:schemeClr val="lt1"/>
            </a:solidFill>
          </a:ln>
          <a:effectLst/>
        </c:spPr>
      </c:pivotFmt>
      <c:pivotFmt>
        <c:idx val="11"/>
        <c:spPr>
          <a:gradFill>
            <a:gsLst>
              <a:gs pos="0">
                <a:srgbClr val="FF0000"/>
              </a:gs>
              <a:gs pos="100000">
                <a:srgbClr val="FDA1A1"/>
              </a:gs>
            </a:gsLst>
            <a:lin ang="2700000" scaled="0"/>
          </a:gradFill>
          <a:ln w="19050">
            <a:solidFill>
              <a:schemeClr val="lt1"/>
            </a:solidFill>
          </a:ln>
          <a:effectLst/>
        </c:spPr>
      </c:pivotFmt>
    </c:pivotFmts>
    <c:plotArea>
      <c:layout>
        <c:manualLayout>
          <c:layoutTarget val="inner"/>
          <c:xMode val="edge"/>
          <c:yMode val="edge"/>
          <c:x val="0"/>
          <c:y val="1.3111111111111112E-2"/>
          <c:w val="0.98788888888888893"/>
          <c:h val="0.98688888888888893"/>
        </c:manualLayout>
      </c:layout>
      <c:doughnutChart>
        <c:varyColors val="1"/>
        <c:ser>
          <c:idx val="0"/>
          <c:order val="0"/>
          <c:dPt>
            <c:idx val="0"/>
            <c:bubble3D val="0"/>
            <c:spPr>
              <a:gradFill>
                <a:gsLst>
                  <a:gs pos="100000">
                    <a:srgbClr val="70AD47">
                      <a:lumMod val="75000"/>
                    </a:srgbClr>
                  </a:gs>
                  <a:gs pos="0">
                    <a:srgbClr val="70AD47">
                      <a:lumMod val="40000"/>
                      <a:lumOff val="60000"/>
                    </a:srgbClr>
                  </a:gs>
                </a:gsLst>
                <a:lin ang="2700000" scaled="0"/>
              </a:gradFill>
              <a:ln w="19050">
                <a:solidFill>
                  <a:schemeClr val="lt1"/>
                </a:solidFill>
              </a:ln>
              <a:effectLst/>
            </c:spPr>
            <c:extLst>
              <c:ext xmlns:c16="http://schemas.microsoft.com/office/drawing/2014/chart" uri="{C3380CC4-5D6E-409C-BE32-E72D297353CC}">
                <c16:uniqueId val="{00000001-4B0C-4A3C-9385-254DB083383D}"/>
              </c:ext>
            </c:extLst>
          </c:dPt>
          <c:dPt>
            <c:idx val="1"/>
            <c:bubble3D val="0"/>
            <c:spPr>
              <a:gradFill>
                <a:gsLst>
                  <a:gs pos="0">
                    <a:srgbClr val="FF0000"/>
                  </a:gs>
                  <a:gs pos="100000">
                    <a:srgbClr val="FDA1A1"/>
                  </a:gs>
                </a:gsLst>
                <a:lin ang="2700000" scaled="0"/>
              </a:gradFill>
              <a:ln w="19050">
                <a:solidFill>
                  <a:schemeClr val="lt1"/>
                </a:solidFill>
              </a:ln>
              <a:effectLst/>
            </c:spPr>
            <c:extLst>
              <c:ext xmlns:c16="http://schemas.microsoft.com/office/drawing/2014/chart" uri="{C3380CC4-5D6E-409C-BE32-E72D297353CC}">
                <c16:uniqueId val="{00000003-4B0C-4A3C-9385-254DB083383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B0C-4A3C-9385-254DB083383D}"/>
              </c:ext>
            </c:extLst>
          </c:dPt>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Abadi" panose="020B0604020104020204" pitchFamily="34" charset="0"/>
                    <a:ea typeface="+mn-ea"/>
                    <a:cs typeface="+mn-cs"/>
                  </a:defRPr>
                </a:pPr>
                <a:endParaRPr lang="en-US"/>
              </a:p>
            </c:txPr>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'Data Preparation'!$J$6:$J$7</c:f>
              <c:strCache>
                <c:ptCount val="2"/>
                <c:pt idx="0">
                  <c:v>P</c:v>
                </c:pt>
                <c:pt idx="1">
                  <c:v>F</c:v>
                </c:pt>
              </c:strCache>
            </c:strRef>
          </c:cat>
          <c:val>
            <c:numRef>
              <c:f>'Data Preparation'!$K$6:$K$7</c:f>
              <c:numCache>
                <c:formatCode>0%</c:formatCode>
                <c:ptCount val="2"/>
                <c:pt idx="0">
                  <c:v>0.83673469387755106</c:v>
                </c:pt>
                <c:pt idx="1">
                  <c:v>0.16326530612244897</c:v>
                </c:pt>
              </c:numCache>
            </c:numRef>
          </c:val>
          <c:extLst>
            <c:ext xmlns:c16="http://schemas.microsoft.com/office/drawing/2014/chart" uri="{C3380CC4-5D6E-409C-BE32-E72D297353CC}">
              <c16:uniqueId val="{00000006-4B0C-4A3C-9385-254DB083383D}"/>
            </c:ext>
          </c:extLst>
        </c:ser>
        <c:ser>
          <c:idx val="1"/>
          <c:order val="1"/>
          <c:tx>
            <c:v>Target</c:v>
          </c:tx>
          <c:spPr>
            <a:ln>
              <a:noFill/>
            </a:ln>
          </c:spPr>
          <c:dPt>
            <c:idx val="0"/>
            <c:bubble3D val="0"/>
            <c:spPr>
              <a:noFill/>
              <a:ln w="19050">
                <a:noFill/>
              </a:ln>
              <a:effectLst/>
            </c:spPr>
            <c:extLst>
              <c:ext xmlns:c16="http://schemas.microsoft.com/office/drawing/2014/chart" uri="{C3380CC4-5D6E-409C-BE32-E72D297353CC}">
                <c16:uniqueId val="{00000008-4B0C-4A3C-9385-254DB083383D}"/>
              </c:ext>
            </c:extLst>
          </c:dPt>
          <c:dPt>
            <c:idx val="1"/>
            <c:bubble3D val="0"/>
            <c:spPr>
              <a:gradFill>
                <a:gsLst>
                  <a:gs pos="0">
                    <a:srgbClr val="5B9BD5">
                      <a:lumMod val="75000"/>
                    </a:srgbClr>
                  </a:gs>
                  <a:gs pos="100000">
                    <a:srgbClr val="5B9BD5">
                      <a:lumMod val="60000"/>
                      <a:lumOff val="40000"/>
                    </a:srgbClr>
                  </a:gs>
                </a:gsLst>
                <a:lin ang="5400000" scaled="1"/>
              </a:gradFill>
              <a:ln w="19050">
                <a:noFill/>
              </a:ln>
              <a:effectLst/>
            </c:spPr>
            <c:extLst>
              <c:ext xmlns:c16="http://schemas.microsoft.com/office/drawing/2014/chart" uri="{C3380CC4-5D6E-409C-BE32-E72D297353CC}">
                <c16:uniqueId val="{0000000A-4B0C-4A3C-9385-254DB083383D}"/>
              </c:ext>
            </c:extLst>
          </c:dPt>
          <c:dPt>
            <c:idx val="2"/>
            <c:bubble3D val="0"/>
            <c:spPr>
              <a:noFill/>
              <a:ln w="19050">
                <a:noFill/>
              </a:ln>
              <a:effectLst/>
            </c:spPr>
            <c:extLst>
              <c:ext xmlns:c16="http://schemas.microsoft.com/office/drawing/2014/chart" uri="{C3380CC4-5D6E-409C-BE32-E72D297353CC}">
                <c16:uniqueId val="{0000000C-4B0C-4A3C-9385-254DB083383D}"/>
              </c:ext>
            </c:extLst>
          </c:dPt>
          <c:dLbls>
            <c:delete val="1"/>
          </c:dLbls>
          <c:val>
            <c:numRef>
              <c:f>'Data Preparation'!$T$4:$T$6</c:f>
              <c:numCache>
                <c:formatCode>0.0%</c:formatCode>
                <c:ptCount val="3"/>
                <c:pt idx="0">
                  <c:v>0.84250000000000003</c:v>
                </c:pt>
                <c:pt idx="1">
                  <c:v>1.4999999999999999E-2</c:v>
                </c:pt>
                <c:pt idx="2">
                  <c:v>0.14249999999999996</c:v>
                </c:pt>
              </c:numCache>
            </c:numRef>
          </c:val>
          <c:extLst>
            <c:ext xmlns:c16="http://schemas.microsoft.com/office/drawing/2014/chart" uri="{C3380CC4-5D6E-409C-BE32-E72D297353CC}">
              <c16:uniqueId val="{0000000D-4B0C-4A3C-9385-254DB083383D}"/>
            </c:ext>
          </c:extLst>
        </c:ser>
        <c:dLbls>
          <c:showLegendKey val="0"/>
          <c:showVal val="1"/>
          <c:showCatName val="0"/>
          <c:showSerName val="0"/>
          <c:showPercent val="0"/>
          <c:showBubbleSize val="0"/>
          <c:showLeaderLines val="1"/>
        </c:dLbls>
        <c:firstSliceAng val="0"/>
        <c:holeSize val="50"/>
      </c:doughnutChart>
      <c:spPr>
        <a:noFill/>
        <a:ln>
          <a:noFill/>
        </a:ln>
        <a:effectLst/>
      </c:spPr>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400" b="0" i="0" u="none" strike="noStrike" kern="1200" spc="0" baseline="0">
                <a:solidFill>
                  <a:sysClr val="windowText" lastClr="000000"/>
                </a:solidFill>
                <a:latin typeface="Abadi" panose="020B0604020104020204" pitchFamily="34" charset="0"/>
                <a:ea typeface="+mn-ea"/>
                <a:cs typeface="+mn-cs"/>
              </a:defRPr>
            </a:pPr>
            <a:r>
              <a:rPr lang="en-US" sz="1400" b="0" i="0" u="none" strike="noStrike" kern="1200" baseline="0">
                <a:solidFill>
                  <a:sysClr val="windowText" lastClr="000000"/>
                </a:solidFill>
                <a:latin typeface="Abadi" panose="020B0604020104020204" pitchFamily="34" charset="0"/>
                <a:ea typeface="+mn-ea"/>
                <a:cs typeface="+mn-cs"/>
              </a:rPr>
              <a:t>Neutral Tickets</a:t>
            </a:r>
          </a:p>
        </c:rich>
      </c:tx>
      <c:overlay val="0"/>
      <c:spPr>
        <a:noFill/>
        <a:ln>
          <a:noFill/>
        </a:ln>
        <a:effectLst/>
      </c:spPr>
      <c:txPr>
        <a:bodyPr rot="0" spcFirstLastPara="1" vertOverflow="ellipsis" vert="horz" wrap="square" anchor="ctr" anchorCtr="1"/>
        <a:lstStyle/>
        <a:p>
          <a:pPr algn="ctr" rtl="0">
            <a:defRPr lang="en-US" sz="1400" b="0" i="0" u="none" strike="noStrike" kern="1200" spc="0" baseline="0">
              <a:solidFill>
                <a:sysClr val="windowText" lastClr="000000"/>
              </a:solidFill>
              <a:latin typeface="Abadi" panose="020B0604020104020204" pitchFamily="34" charset="0"/>
              <a:ea typeface="+mn-ea"/>
              <a:cs typeface="+mn-cs"/>
            </a:defRPr>
          </a:pPr>
          <a:endParaRPr lang="en-US"/>
        </a:p>
      </c:txPr>
    </c:title>
    <c:autoTitleDeleted val="0"/>
    <c:plotArea>
      <c:layout/>
      <c:barChart>
        <c:barDir val="col"/>
        <c:grouping val="clustered"/>
        <c:varyColors val="0"/>
        <c:ser>
          <c:idx val="0"/>
          <c:order val="0"/>
          <c:tx>
            <c:strRef>
              <c:f>'Data Preparation'!$BP$1</c:f>
              <c:strCache>
                <c:ptCount val="1"/>
                <c:pt idx="0">
                  <c:v>Values</c:v>
                </c:pt>
              </c:strCache>
            </c:strRef>
          </c:tx>
          <c:spPr>
            <a:gradFill>
              <a:gsLst>
                <a:gs pos="0">
                  <a:srgbClr val="DEEBF7"/>
                </a:gs>
                <a:gs pos="100000">
                  <a:srgbClr val="DEEBF7"/>
                </a:gs>
              </a:gsLst>
              <a:lin ang="5400000" scaled="1"/>
            </a:gra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solidFill>
                    <a:latin typeface="Abadi" panose="020B0604020104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'Data Preparation'!$BN$2:$BO$17</c:f>
              <c:multiLvlStrCache>
                <c:ptCount val="16"/>
                <c:lvl>
                  <c:pt idx="1">
                    <c:v>APAC</c:v>
                  </c:pt>
                  <c:pt idx="2">
                    <c:v>EUI</c:v>
                  </c:pt>
                  <c:pt idx="3">
                    <c:v>METAP</c:v>
                  </c:pt>
                  <c:pt idx="4">
                    <c:v>NA </c:v>
                  </c:pt>
                  <c:pt idx="6">
                    <c:v>APAC</c:v>
                  </c:pt>
                  <c:pt idx="7">
                    <c:v>EUI</c:v>
                  </c:pt>
                  <c:pt idx="8">
                    <c:v>METAP</c:v>
                  </c:pt>
                  <c:pt idx="9">
                    <c:v>NA </c:v>
                  </c:pt>
                  <c:pt idx="11">
                    <c:v>APAC</c:v>
                  </c:pt>
                  <c:pt idx="12">
                    <c:v>EUI</c:v>
                  </c:pt>
                  <c:pt idx="13">
                    <c:v>METAP</c:v>
                  </c:pt>
                  <c:pt idx="14">
                    <c:v>NA </c:v>
                  </c:pt>
                </c:lvl>
                <c:lvl>
                  <c:pt idx="0">
                    <c:v> </c:v>
                  </c:pt>
                  <c:pt idx="1">
                    <c:v>45</c:v>
                  </c:pt>
                  <c:pt idx="5">
                    <c:v> </c:v>
                  </c:pt>
                  <c:pt idx="6">
                    <c:v>46</c:v>
                  </c:pt>
                  <c:pt idx="10">
                    <c:v> </c:v>
                  </c:pt>
                  <c:pt idx="11">
                    <c:v>48</c:v>
                  </c:pt>
                  <c:pt idx="15">
                    <c:v> </c:v>
                  </c:pt>
                </c:lvl>
              </c:multiLvlStrCache>
            </c:multiLvlStrRef>
          </c:cat>
          <c:val>
            <c:numRef>
              <c:f>'Data Preparation'!$BP$2:$BP$17</c:f>
              <c:numCache>
                <c:formatCode>General</c:formatCode>
                <c:ptCount val="16"/>
                <c:pt idx="1">
                  <c:v>1</c:v>
                </c:pt>
                <c:pt idx="6">
                  <c:v>2</c:v>
                </c:pt>
                <c:pt idx="11">
                  <c:v>0</c:v>
                </c:pt>
              </c:numCache>
            </c:numRef>
          </c:val>
          <c:extLst>
            <c:ext xmlns:c16="http://schemas.microsoft.com/office/drawing/2014/chart" uri="{C3380CC4-5D6E-409C-BE32-E72D297353CC}">
              <c16:uniqueId val="{00000000-0B53-42CB-8FEE-C62B06B6AB25}"/>
            </c:ext>
          </c:extLst>
        </c:ser>
        <c:ser>
          <c:idx val="1"/>
          <c:order val="1"/>
          <c:tx>
            <c:strRef>
              <c:f>'Data Preparation'!$BQ$1</c:f>
              <c:strCache>
                <c:ptCount val="1"/>
              </c:strCache>
            </c:strRef>
          </c:tx>
          <c:spPr>
            <a:gradFill>
              <a:gsLst>
                <a:gs pos="0">
                  <a:srgbClr val="FFF3CC"/>
                </a:gs>
                <a:gs pos="100000">
                  <a:srgbClr val="FFFF87"/>
                </a:gs>
              </a:gsLst>
              <a:lin ang="5400000" scaled="1"/>
            </a:gra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solidFill>
                    <a:latin typeface="Abadi" panose="020B0604020104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'Data Preparation'!$BN$2:$BO$17</c:f>
              <c:multiLvlStrCache>
                <c:ptCount val="16"/>
                <c:lvl>
                  <c:pt idx="1">
                    <c:v>APAC</c:v>
                  </c:pt>
                  <c:pt idx="2">
                    <c:v>EUI</c:v>
                  </c:pt>
                  <c:pt idx="3">
                    <c:v>METAP</c:v>
                  </c:pt>
                  <c:pt idx="4">
                    <c:v>NA </c:v>
                  </c:pt>
                  <c:pt idx="6">
                    <c:v>APAC</c:v>
                  </c:pt>
                  <c:pt idx="7">
                    <c:v>EUI</c:v>
                  </c:pt>
                  <c:pt idx="8">
                    <c:v>METAP</c:v>
                  </c:pt>
                  <c:pt idx="9">
                    <c:v>NA </c:v>
                  </c:pt>
                  <c:pt idx="11">
                    <c:v>APAC</c:v>
                  </c:pt>
                  <c:pt idx="12">
                    <c:v>EUI</c:v>
                  </c:pt>
                  <c:pt idx="13">
                    <c:v>METAP</c:v>
                  </c:pt>
                  <c:pt idx="14">
                    <c:v>NA </c:v>
                  </c:pt>
                </c:lvl>
                <c:lvl>
                  <c:pt idx="0">
                    <c:v> </c:v>
                  </c:pt>
                  <c:pt idx="1">
                    <c:v>45</c:v>
                  </c:pt>
                  <c:pt idx="5">
                    <c:v> </c:v>
                  </c:pt>
                  <c:pt idx="6">
                    <c:v>46</c:v>
                  </c:pt>
                  <c:pt idx="10">
                    <c:v> </c:v>
                  </c:pt>
                  <c:pt idx="11">
                    <c:v>48</c:v>
                  </c:pt>
                  <c:pt idx="15">
                    <c:v> </c:v>
                  </c:pt>
                </c:lvl>
              </c:multiLvlStrCache>
            </c:multiLvlStrRef>
          </c:cat>
          <c:val>
            <c:numRef>
              <c:f>'Data Preparation'!$BQ$2:$BQ$17</c:f>
              <c:numCache>
                <c:formatCode>General</c:formatCode>
                <c:ptCount val="16"/>
                <c:pt idx="2">
                  <c:v>3</c:v>
                </c:pt>
                <c:pt idx="7">
                  <c:v>3</c:v>
                </c:pt>
                <c:pt idx="12">
                  <c:v>0</c:v>
                </c:pt>
              </c:numCache>
            </c:numRef>
          </c:val>
          <c:extLst>
            <c:ext xmlns:c16="http://schemas.microsoft.com/office/drawing/2014/chart" uri="{C3380CC4-5D6E-409C-BE32-E72D297353CC}">
              <c16:uniqueId val="{00000001-0B53-42CB-8FEE-C62B06B6AB25}"/>
            </c:ext>
          </c:extLst>
        </c:ser>
        <c:ser>
          <c:idx val="2"/>
          <c:order val="2"/>
          <c:tx>
            <c:strRef>
              <c:f>'Data Preparation'!$BR$1</c:f>
              <c:strCache>
                <c:ptCount val="1"/>
              </c:strCache>
            </c:strRef>
          </c:tx>
          <c:spPr>
            <a:gradFill>
              <a:gsLst>
                <a:gs pos="0">
                  <a:srgbClr val="FDA1A1"/>
                </a:gs>
                <a:gs pos="100000">
                  <a:srgbClr val="FD7272"/>
                </a:gs>
              </a:gsLst>
              <a:lin ang="5400000" scaled="1"/>
            </a:gra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solidFill>
                    <a:latin typeface="Abadi" panose="020B0604020104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'Data Preparation'!$BN$2:$BO$17</c:f>
              <c:multiLvlStrCache>
                <c:ptCount val="16"/>
                <c:lvl>
                  <c:pt idx="1">
                    <c:v>APAC</c:v>
                  </c:pt>
                  <c:pt idx="2">
                    <c:v>EUI</c:v>
                  </c:pt>
                  <c:pt idx="3">
                    <c:v>METAP</c:v>
                  </c:pt>
                  <c:pt idx="4">
                    <c:v>NA </c:v>
                  </c:pt>
                  <c:pt idx="6">
                    <c:v>APAC</c:v>
                  </c:pt>
                  <c:pt idx="7">
                    <c:v>EUI</c:v>
                  </c:pt>
                  <c:pt idx="8">
                    <c:v>METAP</c:v>
                  </c:pt>
                  <c:pt idx="9">
                    <c:v>NA </c:v>
                  </c:pt>
                  <c:pt idx="11">
                    <c:v>APAC</c:v>
                  </c:pt>
                  <c:pt idx="12">
                    <c:v>EUI</c:v>
                  </c:pt>
                  <c:pt idx="13">
                    <c:v>METAP</c:v>
                  </c:pt>
                  <c:pt idx="14">
                    <c:v>NA </c:v>
                  </c:pt>
                </c:lvl>
                <c:lvl>
                  <c:pt idx="0">
                    <c:v> </c:v>
                  </c:pt>
                  <c:pt idx="1">
                    <c:v>45</c:v>
                  </c:pt>
                  <c:pt idx="5">
                    <c:v> </c:v>
                  </c:pt>
                  <c:pt idx="6">
                    <c:v>46</c:v>
                  </c:pt>
                  <c:pt idx="10">
                    <c:v> </c:v>
                  </c:pt>
                  <c:pt idx="11">
                    <c:v>48</c:v>
                  </c:pt>
                  <c:pt idx="15">
                    <c:v> </c:v>
                  </c:pt>
                </c:lvl>
              </c:multiLvlStrCache>
            </c:multiLvlStrRef>
          </c:cat>
          <c:val>
            <c:numRef>
              <c:f>'Data Preparation'!$BR$2:$BR$17</c:f>
              <c:numCache>
                <c:formatCode>General</c:formatCode>
                <c:ptCount val="16"/>
                <c:pt idx="3">
                  <c:v>0</c:v>
                </c:pt>
                <c:pt idx="8">
                  <c:v>1</c:v>
                </c:pt>
                <c:pt idx="13">
                  <c:v>0</c:v>
                </c:pt>
              </c:numCache>
            </c:numRef>
          </c:val>
          <c:extLst>
            <c:ext xmlns:c16="http://schemas.microsoft.com/office/drawing/2014/chart" uri="{C3380CC4-5D6E-409C-BE32-E72D297353CC}">
              <c16:uniqueId val="{00000002-0B53-42CB-8FEE-C62B06B6AB25}"/>
            </c:ext>
          </c:extLst>
        </c:ser>
        <c:ser>
          <c:idx val="3"/>
          <c:order val="3"/>
          <c:tx>
            <c:strRef>
              <c:f>'Data Preparation'!$BS$1</c:f>
              <c:strCache>
                <c:ptCount val="1"/>
              </c:strCache>
            </c:strRef>
          </c:tx>
          <c:spPr>
            <a:gradFill>
              <a:gsLst>
                <a:gs pos="0">
                  <a:srgbClr val="C5E0B4"/>
                </a:gs>
                <a:gs pos="100000">
                  <a:srgbClr val="7BB952"/>
                </a:gs>
              </a:gsLst>
              <a:lin ang="5400000" scaled="1"/>
            </a:gra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solidFill>
                    <a:latin typeface="Abadi" panose="020B0604020104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'Data Preparation'!$BN$2:$BO$17</c:f>
              <c:multiLvlStrCache>
                <c:ptCount val="16"/>
                <c:lvl>
                  <c:pt idx="1">
                    <c:v>APAC</c:v>
                  </c:pt>
                  <c:pt idx="2">
                    <c:v>EUI</c:v>
                  </c:pt>
                  <c:pt idx="3">
                    <c:v>METAP</c:v>
                  </c:pt>
                  <c:pt idx="4">
                    <c:v>NA </c:v>
                  </c:pt>
                  <c:pt idx="6">
                    <c:v>APAC</c:v>
                  </c:pt>
                  <c:pt idx="7">
                    <c:v>EUI</c:v>
                  </c:pt>
                  <c:pt idx="8">
                    <c:v>METAP</c:v>
                  </c:pt>
                  <c:pt idx="9">
                    <c:v>NA </c:v>
                  </c:pt>
                  <c:pt idx="11">
                    <c:v>APAC</c:v>
                  </c:pt>
                  <c:pt idx="12">
                    <c:v>EUI</c:v>
                  </c:pt>
                  <c:pt idx="13">
                    <c:v>METAP</c:v>
                  </c:pt>
                  <c:pt idx="14">
                    <c:v>NA </c:v>
                  </c:pt>
                </c:lvl>
                <c:lvl>
                  <c:pt idx="0">
                    <c:v> </c:v>
                  </c:pt>
                  <c:pt idx="1">
                    <c:v>45</c:v>
                  </c:pt>
                  <c:pt idx="5">
                    <c:v> </c:v>
                  </c:pt>
                  <c:pt idx="6">
                    <c:v>46</c:v>
                  </c:pt>
                  <c:pt idx="10">
                    <c:v> </c:v>
                  </c:pt>
                  <c:pt idx="11">
                    <c:v>48</c:v>
                  </c:pt>
                  <c:pt idx="15">
                    <c:v> </c:v>
                  </c:pt>
                </c:lvl>
              </c:multiLvlStrCache>
            </c:multiLvlStrRef>
          </c:cat>
          <c:val>
            <c:numRef>
              <c:f>'Data Preparation'!$BS$2:$BS$17</c:f>
              <c:numCache>
                <c:formatCode>General</c:formatCode>
                <c:ptCount val="16"/>
                <c:pt idx="4">
                  <c:v>14</c:v>
                </c:pt>
                <c:pt idx="9">
                  <c:v>9</c:v>
                </c:pt>
                <c:pt idx="14">
                  <c:v>1</c:v>
                </c:pt>
              </c:numCache>
            </c:numRef>
          </c:val>
          <c:extLst>
            <c:ext xmlns:c16="http://schemas.microsoft.com/office/drawing/2014/chart" uri="{C3380CC4-5D6E-409C-BE32-E72D297353CC}">
              <c16:uniqueId val="{00000003-0B53-42CB-8FEE-C62B06B6AB25}"/>
            </c:ext>
          </c:extLst>
        </c:ser>
        <c:dLbls>
          <c:dLblPos val="outEnd"/>
          <c:showLegendKey val="0"/>
          <c:showVal val="1"/>
          <c:showCatName val="0"/>
          <c:showSerName val="0"/>
          <c:showPercent val="0"/>
          <c:showBubbleSize val="0"/>
        </c:dLbls>
        <c:gapWidth val="0"/>
        <c:overlap val="100"/>
        <c:axId val="730405752"/>
        <c:axId val="730404768"/>
      </c:barChart>
      <c:catAx>
        <c:axId val="73040575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800" b="0" i="0" u="none" strike="noStrike" kern="1200" baseline="0">
                <a:solidFill>
                  <a:schemeClr val="tx1"/>
                </a:solidFill>
                <a:latin typeface="Abadi" panose="020B0604020104020204" pitchFamily="34" charset="0"/>
                <a:ea typeface="+mn-ea"/>
                <a:cs typeface="+mn-cs"/>
              </a:defRPr>
            </a:pPr>
            <a:endParaRPr lang="en-US"/>
          </a:p>
        </c:txPr>
        <c:crossAx val="730404768"/>
        <c:crosses val="autoZero"/>
        <c:auto val="1"/>
        <c:lblAlgn val="ctr"/>
        <c:lblOffset val="100"/>
        <c:tickMarkSkip val="1"/>
        <c:noMultiLvlLbl val="0"/>
      </c:catAx>
      <c:valAx>
        <c:axId val="730404768"/>
        <c:scaling>
          <c:orientation val="minMax"/>
        </c:scaling>
        <c:delete val="1"/>
        <c:axPos val="l"/>
        <c:numFmt formatCode="General" sourceLinked="1"/>
        <c:majorTickMark val="none"/>
        <c:minorTickMark val="none"/>
        <c:tickLblPos val="nextTo"/>
        <c:crossAx val="7304057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1.xml"/></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oneCell">
    <xdr:from>
      <xdr:col>0</xdr:col>
      <xdr:colOff>171451</xdr:colOff>
      <xdr:row>0</xdr:row>
      <xdr:rowOff>55725</xdr:rowOff>
    </xdr:from>
    <xdr:to>
      <xdr:col>28</xdr:col>
      <xdr:colOff>349251</xdr:colOff>
      <xdr:row>5</xdr:row>
      <xdr:rowOff>0</xdr:rowOff>
    </xdr:to>
    <xdr:sp macro="" textlink="">
      <xdr:nvSpPr>
        <xdr:cNvPr id="2" name="Rectangle: Rounded Corners 1">
          <a:extLst>
            <a:ext uri="{FF2B5EF4-FFF2-40B4-BE49-F238E27FC236}">
              <a16:creationId xmlns:a16="http://schemas.microsoft.com/office/drawing/2014/main" id="{00000000-0008-0000-0300-000002000000}"/>
            </a:ext>
          </a:extLst>
        </xdr:cNvPr>
        <xdr:cNvSpPr/>
      </xdr:nvSpPr>
      <xdr:spPr>
        <a:xfrm>
          <a:off x="171451" y="55725"/>
          <a:ext cx="25323800" cy="801525"/>
        </a:xfrm>
        <a:prstGeom prst="roundRect">
          <a:avLst/>
        </a:prstGeom>
        <a:gradFill flip="none" rotWithShape="1">
          <a:gsLst>
            <a:gs pos="0">
              <a:schemeClr val="accent6">
                <a:lumMod val="75000"/>
              </a:schemeClr>
            </a:gs>
            <a:gs pos="100000">
              <a:schemeClr val="accent4">
                <a:lumMod val="60000"/>
                <a:lumOff val="40000"/>
              </a:schemeClr>
            </a:gs>
          </a:gsLst>
          <a:path path="circle">
            <a:fillToRect t="100000" r="100000"/>
          </a:path>
          <a:tileRect l="-100000" b="-100000"/>
        </a:gradFill>
        <a:ln>
          <a:noFill/>
        </a:ln>
        <a:effectLst>
          <a:outerShdw blurRad="127000" dist="38100" dir="2700000" algn="tl" rotWithShape="0">
            <a:schemeClr val="tx1">
              <a:alpha val="2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200" b="1">
              <a:solidFill>
                <a:schemeClr val="bg1"/>
              </a:solidFill>
              <a:latin typeface="Abadi" panose="020B0604020104020204" pitchFamily="34" charset="0"/>
            </a:rPr>
            <a:t>Quality Management System</a:t>
          </a:r>
        </a:p>
      </xdr:txBody>
    </xdr:sp>
    <xdr:clientData/>
  </xdr:twoCellAnchor>
  <xdr:twoCellAnchor editAs="oneCell">
    <xdr:from>
      <xdr:col>1</xdr:col>
      <xdr:colOff>0</xdr:colOff>
      <xdr:row>6</xdr:row>
      <xdr:rowOff>0</xdr:rowOff>
    </xdr:from>
    <xdr:to>
      <xdr:col>3</xdr:col>
      <xdr:colOff>0</xdr:colOff>
      <xdr:row>9</xdr:row>
      <xdr:rowOff>133350</xdr:rowOff>
    </xdr:to>
    <xdr:sp macro="" textlink="">
      <xdr:nvSpPr>
        <xdr:cNvPr id="4" name="Rectangle: Rounded Corners 3">
          <a:extLst>
            <a:ext uri="{FF2B5EF4-FFF2-40B4-BE49-F238E27FC236}">
              <a16:creationId xmlns:a16="http://schemas.microsoft.com/office/drawing/2014/main" id="{00000000-0008-0000-0300-000004000000}"/>
            </a:ext>
          </a:extLst>
        </xdr:cNvPr>
        <xdr:cNvSpPr/>
      </xdr:nvSpPr>
      <xdr:spPr>
        <a:xfrm>
          <a:off x="71438" y="964406"/>
          <a:ext cx="2905125" cy="764382"/>
        </a:xfrm>
        <a:prstGeom prst="roundRect">
          <a:avLst/>
        </a:prstGeom>
        <a:noFill/>
        <a:ln>
          <a:gradFill>
            <a:gsLst>
              <a:gs pos="0">
                <a:schemeClr val="tx1">
                  <a:lumMod val="75000"/>
                  <a:lumOff val="25000"/>
                </a:schemeClr>
              </a:gs>
              <a:gs pos="100000">
                <a:schemeClr val="accent6"/>
              </a:gs>
            </a:gsLst>
            <a:lin ang="5400000" scaled="0"/>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881634</xdr:colOff>
      <xdr:row>6</xdr:row>
      <xdr:rowOff>23487</xdr:rowOff>
    </xdr:from>
    <xdr:to>
      <xdr:col>1</xdr:col>
      <xdr:colOff>1832989</xdr:colOff>
      <xdr:row>7</xdr:row>
      <xdr:rowOff>87374</xdr:rowOff>
    </xdr:to>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953072" y="987893"/>
          <a:ext cx="951355" cy="2543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0" i="0">
              <a:latin typeface="Abadi" panose="020B0604020104020204" pitchFamily="34" charset="0"/>
            </a:rPr>
            <a:t>Select Month</a:t>
          </a:r>
        </a:p>
      </xdr:txBody>
    </xdr:sp>
    <xdr:clientData/>
  </xdr:twoCellAnchor>
  <xdr:twoCellAnchor editAs="oneCell">
    <xdr:from>
      <xdr:col>4</xdr:col>
      <xdr:colOff>1717</xdr:colOff>
      <xdr:row>6</xdr:row>
      <xdr:rowOff>0</xdr:rowOff>
    </xdr:from>
    <xdr:to>
      <xdr:col>6</xdr:col>
      <xdr:colOff>13610</xdr:colOff>
      <xdr:row>9</xdr:row>
      <xdr:rowOff>133350</xdr:rowOff>
    </xdr:to>
    <xdr:sp macro="" textlink="">
      <xdr:nvSpPr>
        <xdr:cNvPr id="7" name="Rectangle: Rounded Corners 6">
          <a:extLst>
            <a:ext uri="{FF2B5EF4-FFF2-40B4-BE49-F238E27FC236}">
              <a16:creationId xmlns:a16="http://schemas.microsoft.com/office/drawing/2014/main" id="{00000000-0008-0000-0300-000007000000}"/>
            </a:ext>
          </a:extLst>
        </xdr:cNvPr>
        <xdr:cNvSpPr/>
      </xdr:nvSpPr>
      <xdr:spPr>
        <a:xfrm>
          <a:off x="4002217" y="1162050"/>
          <a:ext cx="2926543" cy="704850"/>
        </a:xfrm>
        <a:prstGeom prst="roundRect">
          <a:avLst/>
        </a:prstGeom>
        <a:noFill/>
        <a:ln>
          <a:gradFill>
            <a:gsLst>
              <a:gs pos="0">
                <a:schemeClr val="tx1">
                  <a:lumMod val="65000"/>
                  <a:lumOff val="35000"/>
                </a:schemeClr>
              </a:gs>
              <a:gs pos="100000">
                <a:schemeClr val="accent6"/>
              </a:gs>
            </a:gsLst>
            <a:lin ang="5400000" scaled="0"/>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4</xdr:col>
      <xdr:colOff>973085</xdr:colOff>
      <xdr:row>6</xdr:row>
      <xdr:rowOff>5576</xdr:rowOff>
    </xdr:from>
    <xdr:ext cx="983807" cy="266740"/>
    <xdr:sp macro="" textlink="">
      <xdr:nvSpPr>
        <xdr:cNvPr id="8" name="TextBox 7">
          <a:extLst>
            <a:ext uri="{FF2B5EF4-FFF2-40B4-BE49-F238E27FC236}">
              <a16:creationId xmlns:a16="http://schemas.microsoft.com/office/drawing/2014/main" id="{00000000-0008-0000-0300-000008000000}"/>
            </a:ext>
          </a:extLst>
        </xdr:cNvPr>
        <xdr:cNvSpPr txBox="1"/>
      </xdr:nvSpPr>
      <xdr:spPr>
        <a:xfrm>
          <a:off x="4973585" y="1167626"/>
          <a:ext cx="983807" cy="266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US" sz="1200" b="0" i="0">
              <a:latin typeface="Abadi" panose="020B0604020104020204" pitchFamily="34" charset="0"/>
            </a:rPr>
            <a:t>Select Week</a:t>
          </a:r>
        </a:p>
      </xdr:txBody>
    </xdr:sp>
    <xdr:clientData/>
  </xdr:oneCellAnchor>
  <xdr:twoCellAnchor editAs="oneCell">
    <xdr:from>
      <xdr:col>6</xdr:col>
      <xdr:colOff>711653</xdr:colOff>
      <xdr:row>6</xdr:row>
      <xdr:rowOff>0</xdr:rowOff>
    </xdr:from>
    <xdr:to>
      <xdr:col>9</xdr:col>
      <xdr:colOff>8616</xdr:colOff>
      <xdr:row>9</xdr:row>
      <xdr:rowOff>133350</xdr:rowOff>
    </xdr:to>
    <xdr:sp macro="" textlink="">
      <xdr:nvSpPr>
        <xdr:cNvPr id="9" name="Rectangle: Rounded Corners 8">
          <a:extLst>
            <a:ext uri="{FF2B5EF4-FFF2-40B4-BE49-F238E27FC236}">
              <a16:creationId xmlns:a16="http://schemas.microsoft.com/office/drawing/2014/main" id="{00000000-0008-0000-0300-000009000000}"/>
            </a:ext>
          </a:extLst>
        </xdr:cNvPr>
        <xdr:cNvSpPr/>
      </xdr:nvSpPr>
      <xdr:spPr>
        <a:xfrm>
          <a:off x="7626803" y="1162050"/>
          <a:ext cx="2929163" cy="704850"/>
        </a:xfrm>
        <a:prstGeom prst="roundRect">
          <a:avLst/>
        </a:prstGeom>
        <a:noFill/>
        <a:ln>
          <a:gradFill>
            <a:gsLst>
              <a:gs pos="0">
                <a:schemeClr val="tx1">
                  <a:lumMod val="65000"/>
                  <a:lumOff val="35000"/>
                </a:schemeClr>
              </a:gs>
              <a:gs pos="100000">
                <a:schemeClr val="accent6"/>
              </a:gs>
            </a:gsLst>
            <a:lin ang="5400000" scaled="0"/>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7</xdr:col>
      <xdr:colOff>880132</xdr:colOff>
      <xdr:row>6</xdr:row>
      <xdr:rowOff>5576</xdr:rowOff>
    </xdr:from>
    <xdr:ext cx="1144404" cy="266740"/>
    <xdr:sp macro="" textlink="">
      <xdr:nvSpPr>
        <xdr:cNvPr id="10" name="TextBox 9">
          <a:extLst>
            <a:ext uri="{FF2B5EF4-FFF2-40B4-BE49-F238E27FC236}">
              <a16:creationId xmlns:a16="http://schemas.microsoft.com/office/drawing/2014/main" id="{00000000-0008-0000-0300-00000A000000}"/>
            </a:ext>
          </a:extLst>
        </xdr:cNvPr>
        <xdr:cNvSpPr txBox="1"/>
      </xdr:nvSpPr>
      <xdr:spPr>
        <a:xfrm>
          <a:off x="8519182" y="1167626"/>
          <a:ext cx="1144404" cy="266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US" sz="1200" b="0" i="0">
              <a:latin typeface="Abadi" panose="020B0604020104020204" pitchFamily="34" charset="0"/>
            </a:rPr>
            <a:t>Select Product</a:t>
          </a:r>
        </a:p>
      </xdr:txBody>
    </xdr:sp>
    <xdr:clientData/>
  </xdr:oneCellAnchor>
  <xdr:twoCellAnchor editAs="absolute">
    <xdr:from>
      <xdr:col>10</xdr:col>
      <xdr:colOff>1737518</xdr:colOff>
      <xdr:row>16</xdr:row>
      <xdr:rowOff>131122</xdr:rowOff>
    </xdr:from>
    <xdr:to>
      <xdr:col>11</xdr:col>
      <xdr:colOff>130967</xdr:colOff>
      <xdr:row>26</xdr:row>
      <xdr:rowOff>37152</xdr:rowOff>
    </xdr:to>
    <xdr:sp macro="[0]!ClearFilters" textlink="">
      <xdr:nvSpPr>
        <xdr:cNvPr id="16" name="Rectangle: Rounded Corners 15">
          <a:extLst>
            <a:ext uri="{FF2B5EF4-FFF2-40B4-BE49-F238E27FC236}">
              <a16:creationId xmlns:a16="http://schemas.microsoft.com/office/drawing/2014/main" id="{00000000-0008-0000-0300-000010000000}"/>
            </a:ext>
          </a:extLst>
        </xdr:cNvPr>
        <xdr:cNvSpPr>
          <a:spLocks/>
        </xdr:cNvSpPr>
      </xdr:nvSpPr>
      <xdr:spPr>
        <a:xfrm>
          <a:off x="11310143" y="3179122"/>
          <a:ext cx="1108074" cy="1811030"/>
        </a:xfrm>
        <a:prstGeom prst="roundRect">
          <a:avLst/>
        </a:prstGeom>
        <a:gradFill>
          <a:gsLst>
            <a:gs pos="0">
              <a:srgbClr val="FFF2CC"/>
            </a:gs>
            <a:gs pos="100000">
              <a:srgbClr val="FFFF75"/>
            </a:gs>
          </a:gsLst>
          <a:lin ang="2700000" scaled="0"/>
        </a:gradFill>
        <a:ln>
          <a:solidFill>
            <a:srgbClr val="FFD96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0">
              <a:solidFill>
                <a:sysClr val="windowText" lastClr="000000"/>
              </a:solidFill>
              <a:latin typeface="Abadi" panose="020B0604020104020204" pitchFamily="34" charset="0"/>
            </a:rPr>
            <a:t>Clear Filters</a:t>
          </a:r>
        </a:p>
      </xdr:txBody>
    </xdr:sp>
    <xdr:clientData/>
  </xdr:twoCellAnchor>
  <xdr:twoCellAnchor>
    <xdr:from>
      <xdr:col>7</xdr:col>
      <xdr:colOff>1020530</xdr:colOff>
      <xdr:row>11</xdr:row>
      <xdr:rowOff>111125</xdr:rowOff>
    </xdr:from>
    <xdr:to>
      <xdr:col>10</xdr:col>
      <xdr:colOff>1410679</xdr:colOff>
      <xdr:row>31</xdr:row>
      <xdr:rowOff>57150</xdr:rowOff>
    </xdr:to>
    <xdr:grpSp>
      <xdr:nvGrpSpPr>
        <xdr:cNvPr id="31" name="Group 30">
          <a:extLst>
            <a:ext uri="{FF2B5EF4-FFF2-40B4-BE49-F238E27FC236}">
              <a16:creationId xmlns:a16="http://schemas.microsoft.com/office/drawing/2014/main" id="{00000000-0008-0000-0300-00001F000000}"/>
            </a:ext>
          </a:extLst>
        </xdr:cNvPr>
        <xdr:cNvGrpSpPr/>
      </xdr:nvGrpSpPr>
      <xdr:grpSpPr>
        <a:xfrm>
          <a:off x="7568968" y="2206625"/>
          <a:ext cx="3485774" cy="3756025"/>
          <a:chOff x="7551959" y="2206625"/>
          <a:chExt cx="3465363" cy="3756025"/>
        </a:xfrm>
      </xdr:grpSpPr>
      <xdr:grpSp>
        <xdr:nvGrpSpPr>
          <xdr:cNvPr id="28" name="Group 27">
            <a:extLst>
              <a:ext uri="{FF2B5EF4-FFF2-40B4-BE49-F238E27FC236}">
                <a16:creationId xmlns:a16="http://schemas.microsoft.com/office/drawing/2014/main" id="{00000000-0008-0000-0300-00001C000000}"/>
              </a:ext>
            </a:extLst>
          </xdr:cNvPr>
          <xdr:cNvGrpSpPr/>
        </xdr:nvGrpSpPr>
        <xdr:grpSpPr>
          <a:xfrm>
            <a:off x="7551959" y="2206625"/>
            <a:ext cx="3465363" cy="3756025"/>
            <a:chOff x="7551959" y="2206625"/>
            <a:chExt cx="3465363" cy="3756025"/>
          </a:xfrm>
        </xdr:grpSpPr>
        <xdr:sp macro="" textlink="">
          <xdr:nvSpPr>
            <xdr:cNvPr id="54" name="Rectangle: Rounded Corners 53">
              <a:extLst>
                <a:ext uri="{FF2B5EF4-FFF2-40B4-BE49-F238E27FC236}">
                  <a16:creationId xmlns:a16="http://schemas.microsoft.com/office/drawing/2014/main" id="{00000000-0008-0000-0300-000036000000}"/>
                </a:ext>
              </a:extLst>
            </xdr:cNvPr>
            <xdr:cNvSpPr/>
          </xdr:nvSpPr>
          <xdr:spPr>
            <a:xfrm>
              <a:off x="7610929" y="2206625"/>
              <a:ext cx="3406393" cy="3756025"/>
            </a:xfrm>
            <a:prstGeom prst="roundRect">
              <a:avLst/>
            </a:prstGeom>
            <a:solidFill>
              <a:schemeClr val="bg1"/>
            </a:solidFill>
            <a:ln>
              <a:noFill/>
            </a:ln>
            <a:effectLst>
              <a:outerShdw blurRad="127000" dist="38100" dir="2700000" algn="tl" rotWithShape="0">
                <a:schemeClr val="accent6">
                  <a:alpha val="2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26" name="Group 25">
              <a:extLst>
                <a:ext uri="{FF2B5EF4-FFF2-40B4-BE49-F238E27FC236}">
                  <a16:creationId xmlns:a16="http://schemas.microsoft.com/office/drawing/2014/main" id="{00000000-0008-0000-0300-00001A000000}"/>
                </a:ext>
              </a:extLst>
            </xdr:cNvPr>
            <xdr:cNvGrpSpPr/>
          </xdr:nvGrpSpPr>
          <xdr:grpSpPr>
            <a:xfrm>
              <a:off x="9636767" y="3174571"/>
              <a:ext cx="1291534" cy="1743869"/>
              <a:chOff x="9636767" y="3174571"/>
              <a:chExt cx="1291534" cy="1743869"/>
            </a:xfrm>
          </xdr:grpSpPr>
          <xdr:sp macro="" textlink="">
            <xdr:nvSpPr>
              <xdr:cNvPr id="56" name="TextBox 55">
                <a:extLst>
                  <a:ext uri="{FF2B5EF4-FFF2-40B4-BE49-F238E27FC236}">
                    <a16:creationId xmlns:a16="http://schemas.microsoft.com/office/drawing/2014/main" id="{00000000-0008-0000-0300-000038000000}"/>
                  </a:ext>
                </a:extLst>
              </xdr:cNvPr>
              <xdr:cNvSpPr txBox="1"/>
            </xdr:nvSpPr>
            <xdr:spPr>
              <a:xfrm>
                <a:off x="9636767" y="3184147"/>
                <a:ext cx="603818" cy="5341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500">
                    <a:latin typeface="Abadi" panose="020B0604020104020204" pitchFamily="34" charset="0"/>
                  </a:rPr>
                  <a:t>Pass</a:t>
                </a:r>
              </a:p>
            </xdr:txBody>
          </xdr:sp>
          <xdr:sp macro="" textlink="'Data Preparation'!Q6">
            <xdr:nvSpPr>
              <xdr:cNvPr id="57" name="Rectangle: Rounded Corners 56">
                <a:extLst>
                  <a:ext uri="{FF2B5EF4-FFF2-40B4-BE49-F238E27FC236}">
                    <a16:creationId xmlns:a16="http://schemas.microsoft.com/office/drawing/2014/main" id="{00000000-0008-0000-0300-000039000000}"/>
                  </a:ext>
                </a:extLst>
              </xdr:cNvPr>
              <xdr:cNvSpPr/>
            </xdr:nvSpPr>
            <xdr:spPr>
              <a:xfrm>
                <a:off x="10296792" y="3174571"/>
                <a:ext cx="631509" cy="553282"/>
              </a:xfrm>
              <a:prstGeom prst="roundRect">
                <a:avLst/>
              </a:prstGeom>
              <a:gradFill>
                <a:gsLst>
                  <a:gs pos="100000">
                    <a:schemeClr val="accent6">
                      <a:lumMod val="40000"/>
                      <a:lumOff val="60000"/>
                    </a:schemeClr>
                  </a:gs>
                  <a:gs pos="0">
                    <a:schemeClr val="accent6">
                      <a:lumMod val="75000"/>
                    </a:schemeClr>
                  </a:gs>
                </a:gsLst>
                <a:lin ang="27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5D543647-3776-441A-8613-4411A1397AB0}" type="TxLink">
                  <a:rPr lang="en-US" sz="1400" b="0" i="0" u="none" strike="noStrike">
                    <a:solidFill>
                      <a:srgbClr val="000000"/>
                    </a:solidFill>
                    <a:latin typeface="Abadi" panose="020B0604020104020204" pitchFamily="34" charset="0"/>
                    <a:ea typeface="+mn-ea"/>
                    <a:cs typeface="Calibri"/>
                  </a:rPr>
                  <a:pPr marL="0" indent="0" algn="ctr"/>
                  <a:t>93%</a:t>
                </a:fld>
                <a:endParaRPr lang="en-US" sz="1400" b="0" i="0" u="none" strike="noStrike">
                  <a:solidFill>
                    <a:srgbClr val="000000"/>
                  </a:solidFill>
                  <a:latin typeface="Abadi" panose="020B0604020104020204" pitchFamily="34" charset="0"/>
                  <a:ea typeface="+mn-ea"/>
                  <a:cs typeface="Calibri"/>
                </a:endParaRPr>
              </a:p>
            </xdr:txBody>
          </xdr:sp>
          <xdr:sp macro="" textlink="">
            <xdr:nvSpPr>
              <xdr:cNvPr id="60" name="TextBox 59">
                <a:extLst>
                  <a:ext uri="{FF2B5EF4-FFF2-40B4-BE49-F238E27FC236}">
                    <a16:creationId xmlns:a16="http://schemas.microsoft.com/office/drawing/2014/main" id="{00000000-0008-0000-0300-00003C000000}"/>
                  </a:ext>
                </a:extLst>
              </xdr:cNvPr>
              <xdr:cNvSpPr txBox="1"/>
            </xdr:nvSpPr>
            <xdr:spPr>
              <a:xfrm>
                <a:off x="9690072" y="4374734"/>
                <a:ext cx="507230" cy="5341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500">
                    <a:latin typeface="Abadi" panose="020B0604020104020204" pitchFamily="34" charset="0"/>
                  </a:rPr>
                  <a:t>Fail</a:t>
                </a:r>
              </a:p>
            </xdr:txBody>
          </xdr:sp>
          <xdr:sp macro="" textlink="'Data Preparation'!Q7">
            <xdr:nvSpPr>
              <xdr:cNvPr id="61" name="Rectangle: Rounded Corners 60">
                <a:extLst>
                  <a:ext uri="{FF2B5EF4-FFF2-40B4-BE49-F238E27FC236}">
                    <a16:creationId xmlns:a16="http://schemas.microsoft.com/office/drawing/2014/main" id="{00000000-0008-0000-0300-00003D000000}"/>
                  </a:ext>
                </a:extLst>
              </xdr:cNvPr>
              <xdr:cNvSpPr/>
            </xdr:nvSpPr>
            <xdr:spPr>
              <a:xfrm>
                <a:off x="10296792" y="4365158"/>
                <a:ext cx="618980" cy="553282"/>
              </a:xfrm>
              <a:prstGeom prst="roundRect">
                <a:avLst/>
              </a:prstGeom>
              <a:gradFill>
                <a:gsLst>
                  <a:gs pos="100000">
                    <a:schemeClr val="bg1"/>
                  </a:gs>
                  <a:gs pos="0">
                    <a:srgbClr val="FC3C3C"/>
                  </a:gs>
                </a:gsLst>
                <a:lin ang="27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A0206CD9-06A3-4DCF-8CF9-AF8654B22FCE}" type="TxLink">
                  <a:rPr lang="en-US" sz="1400" b="0" i="0" u="none" strike="noStrike">
                    <a:solidFill>
                      <a:srgbClr val="000000"/>
                    </a:solidFill>
                    <a:latin typeface="Abadi" panose="020B0604020104020204" pitchFamily="34" charset="0"/>
                    <a:ea typeface="+mn-ea"/>
                    <a:cs typeface="Calibri"/>
                  </a:rPr>
                  <a:pPr marL="0" indent="0" algn="ctr"/>
                  <a:t>7%</a:t>
                </a:fld>
                <a:endParaRPr lang="en-US" sz="1400" b="0" i="0" u="none" strike="noStrike">
                  <a:solidFill>
                    <a:srgbClr val="000000"/>
                  </a:solidFill>
                  <a:latin typeface="Abadi" panose="020B0604020104020204" pitchFamily="34" charset="0"/>
                  <a:ea typeface="+mn-ea"/>
                  <a:cs typeface="Calibri"/>
                </a:endParaRPr>
              </a:p>
            </xdr:txBody>
          </xdr:sp>
        </xdr:grpSp>
        <xdr:grpSp>
          <xdr:nvGrpSpPr>
            <xdr:cNvPr id="96" name="Group 95">
              <a:extLst>
                <a:ext uri="{FF2B5EF4-FFF2-40B4-BE49-F238E27FC236}">
                  <a16:creationId xmlns:a16="http://schemas.microsoft.com/office/drawing/2014/main" id="{00000000-0008-0000-0300-000060000000}"/>
                </a:ext>
              </a:extLst>
            </xdr:cNvPr>
            <xdr:cNvGrpSpPr/>
          </xdr:nvGrpSpPr>
          <xdr:grpSpPr>
            <a:xfrm>
              <a:off x="8690351" y="2512205"/>
              <a:ext cx="1247548" cy="279221"/>
              <a:chOff x="949630" y="2271362"/>
              <a:chExt cx="1247548" cy="279221"/>
            </a:xfrm>
          </xdr:grpSpPr>
          <xdr:sp macro="" textlink="'Data Preparation'!T1">
            <xdr:nvSpPr>
              <xdr:cNvPr id="97" name="Rectangle: Rounded Corners 96">
                <a:extLst>
                  <a:ext uri="{FF2B5EF4-FFF2-40B4-BE49-F238E27FC236}">
                    <a16:creationId xmlns:a16="http://schemas.microsoft.com/office/drawing/2014/main" id="{00000000-0008-0000-0300-000061000000}"/>
                  </a:ext>
                </a:extLst>
              </xdr:cNvPr>
              <xdr:cNvSpPr/>
            </xdr:nvSpPr>
            <xdr:spPr>
              <a:xfrm>
                <a:off x="1525999" y="2271362"/>
                <a:ext cx="671179" cy="279221"/>
              </a:xfrm>
              <a:prstGeom prst="roundRect">
                <a:avLst/>
              </a:prstGeom>
              <a:gradFill>
                <a:gsLst>
                  <a:gs pos="100000">
                    <a:schemeClr val="accent5">
                      <a:lumMod val="20000"/>
                      <a:lumOff val="80000"/>
                    </a:schemeClr>
                  </a:gs>
                  <a:gs pos="0">
                    <a:schemeClr val="accent5">
                      <a:lumMod val="60000"/>
                      <a:lumOff val="40000"/>
                    </a:schemeClr>
                  </a:gs>
                </a:gsLst>
                <a:lin ang="27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E2D5079A-D598-4502-A3D5-F0D628B4A410}" type="TxLink">
                  <a:rPr lang="en-US" sz="1200" b="0" i="0" u="none" strike="noStrike">
                    <a:solidFill>
                      <a:srgbClr val="000000"/>
                    </a:solidFill>
                    <a:latin typeface="Abadi" panose="020B0604020104020204" pitchFamily="34" charset="0"/>
                    <a:ea typeface="+mn-ea"/>
                    <a:cs typeface="Calibri"/>
                  </a:rPr>
                  <a:pPr marL="0" indent="0" algn="ctr"/>
                  <a:t>85%</a:t>
                </a:fld>
                <a:endParaRPr lang="en-US" sz="1400" b="0" i="0" u="none" strike="noStrike">
                  <a:solidFill>
                    <a:srgbClr val="000000"/>
                  </a:solidFill>
                  <a:latin typeface="Abadi" panose="020B0604020104020204" pitchFamily="34" charset="0"/>
                  <a:ea typeface="+mn-ea"/>
                  <a:cs typeface="Calibri"/>
                </a:endParaRPr>
              </a:p>
            </xdr:txBody>
          </xdr:sp>
          <xdr:sp macro="" textlink="">
            <xdr:nvSpPr>
              <xdr:cNvPr id="98" name="TextBox 97">
                <a:extLst>
                  <a:ext uri="{FF2B5EF4-FFF2-40B4-BE49-F238E27FC236}">
                    <a16:creationId xmlns:a16="http://schemas.microsoft.com/office/drawing/2014/main" id="{00000000-0008-0000-0300-000062000000}"/>
                  </a:ext>
                </a:extLst>
              </xdr:cNvPr>
              <xdr:cNvSpPr txBox="1"/>
            </xdr:nvSpPr>
            <xdr:spPr>
              <a:xfrm>
                <a:off x="949630" y="2276150"/>
                <a:ext cx="719513" cy="2696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200">
                    <a:latin typeface="Abadi" panose="020B0604020104020204" pitchFamily="34" charset="0"/>
                  </a:rPr>
                  <a:t>Target</a:t>
                </a:r>
              </a:p>
            </xdr:txBody>
          </xdr:sp>
        </xdr:grpSp>
        <xdr:graphicFrame macro="">
          <xdr:nvGraphicFramePr>
            <xdr:cNvPr id="99" name="Chart 98">
              <a:extLst>
                <a:ext uri="{FF2B5EF4-FFF2-40B4-BE49-F238E27FC236}">
                  <a16:creationId xmlns:a16="http://schemas.microsoft.com/office/drawing/2014/main" id="{00000000-0008-0000-0300-000063000000}"/>
                </a:ext>
              </a:extLst>
            </xdr:cNvPr>
            <xdr:cNvGraphicFramePr>
              <a:graphicFrameLocks/>
            </xdr:cNvGraphicFramePr>
          </xdr:nvGraphicFramePr>
          <xdr:xfrm>
            <a:off x="7551959" y="2735037"/>
            <a:ext cx="2490107" cy="2598963"/>
          </xdr:xfrm>
          <a:graphic>
            <a:graphicData uri="http://schemas.openxmlformats.org/drawingml/2006/chart">
              <c:chart xmlns:c="http://schemas.openxmlformats.org/drawingml/2006/chart" xmlns:r="http://schemas.openxmlformats.org/officeDocument/2006/relationships" r:id="rId1"/>
            </a:graphicData>
          </a:graphic>
        </xdr:graphicFrame>
      </xdr:grpSp>
      <xdr:sp macro="" textlink="">
        <xdr:nvSpPr>
          <xdr:cNvPr id="27" name="TextBox 26">
            <a:extLst>
              <a:ext uri="{FF2B5EF4-FFF2-40B4-BE49-F238E27FC236}">
                <a16:creationId xmlns:a16="http://schemas.microsoft.com/office/drawing/2014/main" id="{00000000-0008-0000-0300-00001B000000}"/>
              </a:ext>
            </a:extLst>
          </xdr:cNvPr>
          <xdr:cNvSpPr txBox="1"/>
        </xdr:nvSpPr>
        <xdr:spPr>
          <a:xfrm>
            <a:off x="8185916" y="5383137"/>
            <a:ext cx="2288168" cy="4842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b="0">
                <a:latin typeface="Abadi" panose="020B0604020104020204" pitchFamily="34" charset="0"/>
              </a:rPr>
              <a:t>Customer</a:t>
            </a:r>
            <a:r>
              <a:rPr lang="en-US" sz="1600" b="0" baseline="0">
                <a:latin typeface="Abadi" panose="020B0604020104020204" pitchFamily="34" charset="0"/>
              </a:rPr>
              <a:t> Centric</a:t>
            </a:r>
            <a:r>
              <a:rPr lang="en-US" sz="1600" b="0">
                <a:latin typeface="Abadi" panose="020B0604020104020204" pitchFamily="34" charset="0"/>
              </a:rPr>
              <a:t> %</a:t>
            </a:r>
          </a:p>
        </xdr:txBody>
      </xdr:sp>
    </xdr:grpSp>
    <xdr:clientData/>
  </xdr:twoCellAnchor>
  <xdr:twoCellAnchor>
    <xdr:from>
      <xdr:col>13</xdr:col>
      <xdr:colOff>553242</xdr:colOff>
      <xdr:row>7</xdr:row>
      <xdr:rowOff>22225</xdr:rowOff>
    </xdr:from>
    <xdr:to>
      <xdr:col>28</xdr:col>
      <xdr:colOff>392909</xdr:colOff>
      <xdr:row>31</xdr:row>
      <xdr:rowOff>33737</xdr:rowOff>
    </xdr:to>
    <xdr:sp macro="" textlink="">
      <xdr:nvSpPr>
        <xdr:cNvPr id="55" name="Rectangle: Rounded Corners 54">
          <a:extLst>
            <a:ext uri="{FF2B5EF4-FFF2-40B4-BE49-F238E27FC236}">
              <a16:creationId xmlns:a16="http://schemas.microsoft.com/office/drawing/2014/main" id="{00000000-0008-0000-0300-000037000000}"/>
            </a:ext>
          </a:extLst>
        </xdr:cNvPr>
        <xdr:cNvSpPr/>
      </xdr:nvSpPr>
      <xdr:spPr>
        <a:xfrm>
          <a:off x="13531055" y="1391444"/>
          <a:ext cx="12202323" cy="4774012"/>
        </a:xfrm>
        <a:prstGeom prst="roundRect">
          <a:avLst/>
        </a:prstGeom>
        <a:solidFill>
          <a:schemeClr val="bg1"/>
        </a:solidFill>
        <a:ln>
          <a:noFill/>
        </a:ln>
        <a:effectLst>
          <a:outerShdw blurRad="127000" dist="38100" dir="2700000" algn="tl" rotWithShape="0">
            <a:srgbClr val="FF0000">
              <a:alpha val="2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22</xdr:col>
      <xdr:colOff>127075</xdr:colOff>
      <xdr:row>11</xdr:row>
      <xdr:rowOff>157731</xdr:rowOff>
    </xdr:from>
    <xdr:to>
      <xdr:col>28</xdr:col>
      <xdr:colOff>214075</xdr:colOff>
      <xdr:row>30</xdr:row>
      <xdr:rowOff>110644</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1182951</xdr:colOff>
      <xdr:row>8</xdr:row>
      <xdr:rowOff>32126</xdr:rowOff>
    </xdr:from>
    <xdr:to>
      <xdr:col>23</xdr:col>
      <xdr:colOff>150614</xdr:colOff>
      <xdr:row>10</xdr:row>
      <xdr:rowOff>147830</xdr:rowOff>
    </xdr:to>
    <xdr:sp macro="" textlink="">
      <xdr:nvSpPr>
        <xdr:cNvPr id="83" name="TextBox 82">
          <a:extLst>
            <a:ext uri="{FF2B5EF4-FFF2-40B4-BE49-F238E27FC236}">
              <a16:creationId xmlns:a16="http://schemas.microsoft.com/office/drawing/2014/main" id="{00000000-0008-0000-0300-000053000000}"/>
            </a:ext>
          </a:extLst>
        </xdr:cNvPr>
        <xdr:cNvSpPr txBox="1"/>
      </xdr:nvSpPr>
      <xdr:spPr>
        <a:xfrm>
          <a:off x="16561857" y="1599782"/>
          <a:ext cx="5853445" cy="512579"/>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2400" b="0">
              <a:latin typeface="Abadi" panose="020B0604020104020204" pitchFamily="34" charset="0"/>
            </a:rPr>
            <a:t>Month on Month Comparison</a:t>
          </a:r>
        </a:p>
      </xdr:txBody>
    </xdr:sp>
    <xdr:clientData/>
  </xdr:twoCellAnchor>
  <xdr:twoCellAnchor>
    <xdr:from>
      <xdr:col>16</xdr:col>
      <xdr:colOff>2323783</xdr:colOff>
      <xdr:row>11</xdr:row>
      <xdr:rowOff>177571</xdr:rowOff>
    </xdr:from>
    <xdr:to>
      <xdr:col>22</xdr:col>
      <xdr:colOff>20043</xdr:colOff>
      <xdr:row>30</xdr:row>
      <xdr:rowOff>110642</xdr:rowOff>
    </xdr:to>
    <xdr:graphicFrame macro="">
      <xdr:nvGraphicFramePr>
        <xdr:cNvPr id="44" name="Chart 43">
          <a:extLst>
            <a:ext uri="{FF2B5EF4-FFF2-40B4-BE49-F238E27FC236}">
              <a16:creationId xmlns:a16="http://schemas.microsoft.com/office/drawing/2014/main" id="{00000000-0008-0000-03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804015</xdr:colOff>
      <xdr:row>12</xdr:row>
      <xdr:rowOff>631</xdr:rowOff>
    </xdr:from>
    <xdr:to>
      <xdr:col>16</xdr:col>
      <xdr:colOff>2223134</xdr:colOff>
      <xdr:row>30</xdr:row>
      <xdr:rowOff>110643</xdr:rowOff>
    </xdr:to>
    <xdr:graphicFrame macro="">
      <xdr:nvGraphicFramePr>
        <xdr:cNvPr id="48" name="Chart 47">
          <a:extLst>
            <a:ext uri="{FF2B5EF4-FFF2-40B4-BE49-F238E27FC236}">
              <a16:creationId xmlns:a16="http://schemas.microsoft.com/office/drawing/2014/main" id="{00000000-0008-0000-0300-00003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2249763</xdr:colOff>
      <xdr:row>13</xdr:row>
      <xdr:rowOff>131235</xdr:rowOff>
    </xdr:from>
    <xdr:to>
      <xdr:col>16</xdr:col>
      <xdr:colOff>2249763</xdr:colOff>
      <xdr:row>27</xdr:row>
      <xdr:rowOff>197095</xdr:rowOff>
    </xdr:to>
    <xdr:cxnSp macro="">
      <xdr:nvCxnSpPr>
        <xdr:cNvPr id="13" name="Straight Connector 12">
          <a:extLst>
            <a:ext uri="{FF2B5EF4-FFF2-40B4-BE49-F238E27FC236}">
              <a16:creationId xmlns:a16="http://schemas.microsoft.com/office/drawing/2014/main" id="{00000000-0008-0000-0300-00000D000000}"/>
            </a:ext>
          </a:extLst>
        </xdr:cNvPr>
        <xdr:cNvCxnSpPr/>
      </xdr:nvCxnSpPr>
      <xdr:spPr>
        <a:xfrm>
          <a:off x="17628669" y="2691079"/>
          <a:ext cx="0" cy="2843985"/>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19698</xdr:colOff>
      <xdr:row>13</xdr:row>
      <xdr:rowOff>164305</xdr:rowOff>
    </xdr:from>
    <xdr:to>
      <xdr:col>22</xdr:col>
      <xdr:colOff>19698</xdr:colOff>
      <xdr:row>28</xdr:row>
      <xdr:rowOff>31728</xdr:rowOff>
    </xdr:to>
    <xdr:cxnSp macro="">
      <xdr:nvCxnSpPr>
        <xdr:cNvPr id="53" name="Straight Connector 52">
          <a:extLst>
            <a:ext uri="{FF2B5EF4-FFF2-40B4-BE49-F238E27FC236}">
              <a16:creationId xmlns:a16="http://schemas.microsoft.com/office/drawing/2014/main" id="{00000000-0008-0000-0300-000035000000}"/>
            </a:ext>
          </a:extLst>
        </xdr:cNvPr>
        <xdr:cNvCxnSpPr/>
      </xdr:nvCxnSpPr>
      <xdr:spPr>
        <a:xfrm>
          <a:off x="21570011" y="2724149"/>
          <a:ext cx="0" cy="2843985"/>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556232</xdr:colOff>
      <xdr:row>37</xdr:row>
      <xdr:rowOff>36237</xdr:rowOff>
    </xdr:from>
    <xdr:to>
      <xdr:col>28</xdr:col>
      <xdr:colOff>389919</xdr:colOff>
      <xdr:row>50</xdr:row>
      <xdr:rowOff>292362</xdr:rowOff>
    </xdr:to>
    <xdr:sp macro="" textlink="">
      <xdr:nvSpPr>
        <xdr:cNvPr id="75" name="Rectangle: Rounded Corners 74">
          <a:extLst>
            <a:ext uri="{FF2B5EF4-FFF2-40B4-BE49-F238E27FC236}">
              <a16:creationId xmlns:a16="http://schemas.microsoft.com/office/drawing/2014/main" id="{00000000-0008-0000-0300-00004B000000}"/>
            </a:ext>
          </a:extLst>
        </xdr:cNvPr>
        <xdr:cNvSpPr/>
      </xdr:nvSpPr>
      <xdr:spPr>
        <a:xfrm>
          <a:off x="13534045" y="7358581"/>
          <a:ext cx="12196343" cy="4641594"/>
        </a:xfrm>
        <a:prstGeom prst="roundRect">
          <a:avLst/>
        </a:prstGeom>
        <a:solidFill>
          <a:schemeClr val="bg1"/>
        </a:solidFill>
        <a:ln>
          <a:noFill/>
        </a:ln>
        <a:effectLst>
          <a:outerShdw blurRad="127000" dist="38100" dir="2700000" algn="tl" rotWithShape="0">
            <a:srgbClr val="FF0000">
              <a:alpha val="2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1992724</xdr:colOff>
      <xdr:row>37</xdr:row>
      <xdr:rowOff>129174</xdr:rowOff>
    </xdr:from>
    <xdr:to>
      <xdr:col>22</xdr:col>
      <xdr:colOff>342490</xdr:colOff>
      <xdr:row>39</xdr:row>
      <xdr:rowOff>17742</xdr:rowOff>
    </xdr:to>
    <xdr:sp macro="" textlink="">
      <xdr:nvSpPr>
        <xdr:cNvPr id="70" name="TextBox 69">
          <a:extLst>
            <a:ext uri="{FF2B5EF4-FFF2-40B4-BE49-F238E27FC236}">
              <a16:creationId xmlns:a16="http://schemas.microsoft.com/office/drawing/2014/main" id="{00000000-0008-0000-0300-000046000000}"/>
            </a:ext>
          </a:extLst>
        </xdr:cNvPr>
        <xdr:cNvSpPr txBox="1"/>
      </xdr:nvSpPr>
      <xdr:spPr>
        <a:xfrm>
          <a:off x="17371630" y="7451518"/>
          <a:ext cx="4521173" cy="563255"/>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2400" b="0">
              <a:latin typeface="Abadi" panose="020B0604020104020204" pitchFamily="34" charset="0"/>
            </a:rPr>
            <a:t>Week on Week Comparison</a:t>
          </a:r>
        </a:p>
      </xdr:txBody>
    </xdr:sp>
    <xdr:clientData/>
  </xdr:twoCellAnchor>
  <xdr:twoCellAnchor>
    <xdr:from>
      <xdr:col>16</xdr:col>
      <xdr:colOff>2332851</xdr:colOff>
      <xdr:row>39</xdr:row>
      <xdr:rowOff>215872</xdr:rowOff>
    </xdr:from>
    <xdr:to>
      <xdr:col>22</xdr:col>
      <xdr:colOff>64698</xdr:colOff>
      <xdr:row>50</xdr:row>
      <xdr:rowOff>141507</xdr:rowOff>
    </xdr:to>
    <xdr:graphicFrame macro="">
      <xdr:nvGraphicFramePr>
        <xdr:cNvPr id="69" name="Chart 68">
          <a:extLst>
            <a:ext uri="{FF2B5EF4-FFF2-40B4-BE49-F238E27FC236}">
              <a16:creationId xmlns:a16="http://schemas.microsoft.com/office/drawing/2014/main" id="{00000000-0008-0000-0300-00004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133374</xdr:colOff>
      <xdr:row>39</xdr:row>
      <xdr:rowOff>191792</xdr:rowOff>
    </xdr:from>
    <xdr:to>
      <xdr:col>28</xdr:col>
      <xdr:colOff>232062</xdr:colOff>
      <xdr:row>50</xdr:row>
      <xdr:rowOff>141507</xdr:rowOff>
    </xdr:to>
    <xdr:graphicFrame macro="">
      <xdr:nvGraphicFramePr>
        <xdr:cNvPr id="58" name="Chart 57">
          <a:extLst>
            <a:ext uri="{FF2B5EF4-FFF2-40B4-BE49-F238E27FC236}">
              <a16:creationId xmlns:a16="http://schemas.microsoft.com/office/drawing/2014/main" id="{00000000-0008-0000-0300-00003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786029</xdr:colOff>
      <xdr:row>39</xdr:row>
      <xdr:rowOff>215872</xdr:rowOff>
    </xdr:from>
    <xdr:to>
      <xdr:col>16</xdr:col>
      <xdr:colOff>2264174</xdr:colOff>
      <xdr:row>50</xdr:row>
      <xdr:rowOff>141507</xdr:rowOff>
    </xdr:to>
    <xdr:graphicFrame macro="">
      <xdr:nvGraphicFramePr>
        <xdr:cNvPr id="63" name="Chart 62">
          <a:extLst>
            <a:ext uri="{FF2B5EF4-FFF2-40B4-BE49-F238E27FC236}">
              <a16:creationId xmlns:a16="http://schemas.microsoft.com/office/drawing/2014/main" id="{00000000-0008-0000-0300-00003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22</xdr:col>
      <xdr:colOff>64330</xdr:colOff>
      <xdr:row>41</xdr:row>
      <xdr:rowOff>4859</xdr:rowOff>
    </xdr:from>
    <xdr:to>
      <xdr:col>22</xdr:col>
      <xdr:colOff>64330</xdr:colOff>
      <xdr:row>48</xdr:row>
      <xdr:rowOff>327589</xdr:rowOff>
    </xdr:to>
    <xdr:cxnSp macro="">
      <xdr:nvCxnSpPr>
        <xdr:cNvPr id="67" name="Straight Connector 66">
          <a:extLst>
            <a:ext uri="{FF2B5EF4-FFF2-40B4-BE49-F238E27FC236}">
              <a16:creationId xmlns:a16="http://schemas.microsoft.com/office/drawing/2014/main" id="{00000000-0008-0000-0300-000043000000}"/>
            </a:ext>
          </a:extLst>
        </xdr:cNvPr>
        <xdr:cNvCxnSpPr/>
      </xdr:nvCxnSpPr>
      <xdr:spPr>
        <a:xfrm>
          <a:off x="21614643" y="8676578"/>
          <a:ext cx="0" cy="2684136"/>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2258502</xdr:colOff>
      <xdr:row>41</xdr:row>
      <xdr:rowOff>4859</xdr:rowOff>
    </xdr:from>
    <xdr:to>
      <xdr:col>16</xdr:col>
      <xdr:colOff>2258502</xdr:colOff>
      <xdr:row>48</xdr:row>
      <xdr:rowOff>327589</xdr:rowOff>
    </xdr:to>
    <xdr:cxnSp macro="">
      <xdr:nvCxnSpPr>
        <xdr:cNvPr id="66" name="Straight Connector 65">
          <a:extLst>
            <a:ext uri="{FF2B5EF4-FFF2-40B4-BE49-F238E27FC236}">
              <a16:creationId xmlns:a16="http://schemas.microsoft.com/office/drawing/2014/main" id="{00000000-0008-0000-0300-000042000000}"/>
            </a:ext>
          </a:extLst>
        </xdr:cNvPr>
        <xdr:cNvCxnSpPr/>
      </xdr:nvCxnSpPr>
      <xdr:spPr>
        <a:xfrm>
          <a:off x="17637408" y="8676578"/>
          <a:ext cx="0" cy="2684136"/>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10</xdr:col>
      <xdr:colOff>0</xdr:colOff>
      <xdr:row>5</xdr:row>
      <xdr:rowOff>288925</xdr:rowOff>
    </xdr:from>
    <xdr:to>
      <xdr:col>12</xdr:col>
      <xdr:colOff>4988</xdr:colOff>
      <xdr:row>9</xdr:row>
      <xdr:rowOff>120650</xdr:rowOff>
    </xdr:to>
    <xdr:sp macro="" textlink="">
      <xdr:nvSpPr>
        <xdr:cNvPr id="49" name="Rectangle: Rounded Corners 48">
          <a:extLst>
            <a:ext uri="{FF2B5EF4-FFF2-40B4-BE49-F238E27FC236}">
              <a16:creationId xmlns:a16="http://schemas.microsoft.com/office/drawing/2014/main" id="{00000000-0008-0000-0300-000031000000}"/>
            </a:ext>
          </a:extLst>
        </xdr:cNvPr>
        <xdr:cNvSpPr/>
      </xdr:nvSpPr>
      <xdr:spPr>
        <a:xfrm>
          <a:off x="9572625" y="1130300"/>
          <a:ext cx="2894238" cy="704850"/>
        </a:xfrm>
        <a:prstGeom prst="roundRect">
          <a:avLst/>
        </a:prstGeom>
        <a:noFill/>
        <a:ln>
          <a:gradFill>
            <a:gsLst>
              <a:gs pos="0">
                <a:schemeClr val="tx1">
                  <a:lumMod val="65000"/>
                  <a:lumOff val="35000"/>
                </a:schemeClr>
              </a:gs>
              <a:gs pos="100000">
                <a:schemeClr val="accent6"/>
              </a:gs>
            </a:gsLst>
            <a:lin ang="5400000" scaled="0"/>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10</xdr:col>
      <xdr:colOff>909023</xdr:colOff>
      <xdr:row>6</xdr:row>
      <xdr:rowOff>8751</xdr:rowOff>
    </xdr:from>
    <xdr:ext cx="1076193" cy="266740"/>
    <xdr:sp macro="" textlink="">
      <xdr:nvSpPr>
        <xdr:cNvPr id="65" name="TextBox 64">
          <a:extLst>
            <a:ext uri="{FF2B5EF4-FFF2-40B4-BE49-F238E27FC236}">
              <a16:creationId xmlns:a16="http://schemas.microsoft.com/office/drawing/2014/main" id="{00000000-0008-0000-0300-000041000000}"/>
            </a:ext>
          </a:extLst>
        </xdr:cNvPr>
        <xdr:cNvSpPr txBox="1"/>
      </xdr:nvSpPr>
      <xdr:spPr>
        <a:xfrm>
          <a:off x="10481648" y="1151751"/>
          <a:ext cx="1076193" cy="266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US" sz="1200" b="0" i="0">
              <a:latin typeface="Abadi" panose="020B0604020104020204" pitchFamily="34" charset="0"/>
            </a:rPr>
            <a:t>Select Region</a:t>
          </a:r>
        </a:p>
      </xdr:txBody>
    </xdr:sp>
    <xdr:clientData/>
  </xdr:oneCellAnchor>
  <xdr:twoCellAnchor>
    <xdr:from>
      <xdr:col>0</xdr:col>
      <xdr:colOff>179916</xdr:colOff>
      <xdr:row>11</xdr:row>
      <xdr:rowOff>68037</xdr:rowOff>
    </xdr:from>
    <xdr:to>
      <xdr:col>4</xdr:col>
      <xdr:colOff>195864</xdr:colOff>
      <xdr:row>30</xdr:row>
      <xdr:rowOff>152391</xdr:rowOff>
    </xdr:to>
    <xdr:grpSp>
      <xdr:nvGrpSpPr>
        <xdr:cNvPr id="21" name="Group 20">
          <a:extLst>
            <a:ext uri="{FF2B5EF4-FFF2-40B4-BE49-F238E27FC236}">
              <a16:creationId xmlns:a16="http://schemas.microsoft.com/office/drawing/2014/main" id="{00000000-0008-0000-0300-000015000000}"/>
            </a:ext>
          </a:extLst>
        </xdr:cNvPr>
        <xdr:cNvGrpSpPr/>
      </xdr:nvGrpSpPr>
      <xdr:grpSpPr>
        <a:xfrm>
          <a:off x="179916" y="2163537"/>
          <a:ext cx="3468761" cy="3703854"/>
          <a:chOff x="179916" y="2163537"/>
          <a:chExt cx="3472162" cy="3703854"/>
        </a:xfrm>
      </xdr:grpSpPr>
      <xdr:sp macro="" textlink="">
        <xdr:nvSpPr>
          <xdr:cNvPr id="30" name="Rectangle: Rounded Corners 29">
            <a:extLst>
              <a:ext uri="{FF2B5EF4-FFF2-40B4-BE49-F238E27FC236}">
                <a16:creationId xmlns:a16="http://schemas.microsoft.com/office/drawing/2014/main" id="{00000000-0008-0000-0300-00001E000000}"/>
              </a:ext>
            </a:extLst>
          </xdr:cNvPr>
          <xdr:cNvSpPr>
            <a:spLocks noChangeAspect="1"/>
          </xdr:cNvSpPr>
        </xdr:nvSpPr>
        <xdr:spPr>
          <a:xfrm>
            <a:off x="222250" y="2163537"/>
            <a:ext cx="3429828" cy="3672114"/>
          </a:xfrm>
          <a:prstGeom prst="roundRect">
            <a:avLst/>
          </a:prstGeom>
          <a:solidFill>
            <a:schemeClr val="bg1"/>
          </a:solidFill>
          <a:ln>
            <a:noFill/>
          </a:ln>
          <a:effectLst>
            <a:outerShdw blurRad="127000" dist="38100" dir="2700000" algn="tl" rotWithShape="0">
              <a:schemeClr val="accent6">
                <a:alpha val="2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20" name="Group 19">
            <a:extLst>
              <a:ext uri="{FF2B5EF4-FFF2-40B4-BE49-F238E27FC236}">
                <a16:creationId xmlns:a16="http://schemas.microsoft.com/office/drawing/2014/main" id="{00000000-0008-0000-0300-000014000000}"/>
              </a:ext>
            </a:extLst>
          </xdr:cNvPr>
          <xdr:cNvGrpSpPr/>
        </xdr:nvGrpSpPr>
        <xdr:grpSpPr>
          <a:xfrm>
            <a:off x="2302180" y="3174571"/>
            <a:ext cx="1317094" cy="1743869"/>
            <a:chOff x="2302180" y="3174571"/>
            <a:chExt cx="1317094" cy="1743869"/>
          </a:xfrm>
        </xdr:grpSpPr>
        <xdr:sp macro="" textlink="">
          <xdr:nvSpPr>
            <xdr:cNvPr id="46" name="TextBox 45">
              <a:extLst>
                <a:ext uri="{FF2B5EF4-FFF2-40B4-BE49-F238E27FC236}">
                  <a16:creationId xmlns:a16="http://schemas.microsoft.com/office/drawing/2014/main" id="{00000000-0008-0000-0300-00002E000000}"/>
                </a:ext>
              </a:extLst>
            </xdr:cNvPr>
            <xdr:cNvSpPr txBox="1"/>
          </xdr:nvSpPr>
          <xdr:spPr>
            <a:xfrm>
              <a:off x="2302180" y="3184147"/>
              <a:ext cx="591444" cy="5341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500">
                  <a:latin typeface="Abadi" panose="020B0604020104020204" pitchFamily="34" charset="0"/>
                </a:rPr>
                <a:t>Pass</a:t>
              </a:r>
            </a:p>
          </xdr:txBody>
        </xdr:sp>
        <xdr:sp macro="" textlink="'Data Preparation'!E6">
          <xdr:nvSpPr>
            <xdr:cNvPr id="47" name="Rectangle: Rounded Corners 46">
              <a:extLst>
                <a:ext uri="{FF2B5EF4-FFF2-40B4-BE49-F238E27FC236}">
                  <a16:creationId xmlns:a16="http://schemas.microsoft.com/office/drawing/2014/main" id="{00000000-0008-0000-0300-00002F000000}"/>
                </a:ext>
              </a:extLst>
            </xdr:cNvPr>
            <xdr:cNvSpPr/>
          </xdr:nvSpPr>
          <xdr:spPr>
            <a:xfrm>
              <a:off x="2949608" y="3174571"/>
              <a:ext cx="669666" cy="553282"/>
            </a:xfrm>
            <a:prstGeom prst="roundRect">
              <a:avLst/>
            </a:prstGeom>
            <a:gradFill>
              <a:gsLst>
                <a:gs pos="100000">
                  <a:schemeClr val="accent6">
                    <a:lumMod val="40000"/>
                    <a:lumOff val="60000"/>
                  </a:schemeClr>
                </a:gs>
                <a:gs pos="0">
                  <a:schemeClr val="accent6">
                    <a:lumMod val="75000"/>
                  </a:schemeClr>
                </a:gs>
              </a:gsLst>
              <a:lin ang="27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6C89CB75-BDFF-4639-AA0E-2A50BDC92CC8}" type="TxLink">
                <a:rPr lang="en-US" sz="1400" b="0" i="0" u="none" strike="noStrike">
                  <a:solidFill>
                    <a:srgbClr val="000000"/>
                  </a:solidFill>
                  <a:latin typeface="Abadi" panose="020B0604020104020204" pitchFamily="34" charset="0"/>
                  <a:ea typeface="+mn-ea"/>
                  <a:cs typeface="Calibri"/>
                </a:rPr>
                <a:pPr marL="0" indent="0" algn="ctr"/>
                <a:t>85%</a:t>
              </a:fld>
              <a:endParaRPr lang="en-US" sz="1400" b="0" i="0" u="none" strike="noStrike">
                <a:solidFill>
                  <a:srgbClr val="000000"/>
                </a:solidFill>
                <a:latin typeface="Abadi" panose="020B0604020104020204" pitchFamily="34" charset="0"/>
                <a:ea typeface="+mn-ea"/>
                <a:cs typeface="Calibri"/>
              </a:endParaRPr>
            </a:p>
          </xdr:txBody>
        </xdr:sp>
        <xdr:sp macro="" textlink="">
          <xdr:nvSpPr>
            <xdr:cNvPr id="50" name="TextBox 49">
              <a:extLst>
                <a:ext uri="{FF2B5EF4-FFF2-40B4-BE49-F238E27FC236}">
                  <a16:creationId xmlns:a16="http://schemas.microsoft.com/office/drawing/2014/main" id="{00000000-0008-0000-0300-000032000000}"/>
                </a:ext>
              </a:extLst>
            </xdr:cNvPr>
            <xdr:cNvSpPr txBox="1"/>
          </xdr:nvSpPr>
          <xdr:spPr>
            <a:xfrm>
              <a:off x="2345291" y="4374734"/>
              <a:ext cx="505221" cy="5341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500">
                  <a:latin typeface="Abadi" panose="020B0604020104020204" pitchFamily="34" charset="0"/>
                </a:rPr>
                <a:t>Fail</a:t>
              </a:r>
            </a:p>
          </xdr:txBody>
        </xdr:sp>
        <xdr:sp macro="" textlink="'Data Preparation'!E7">
          <xdr:nvSpPr>
            <xdr:cNvPr id="51" name="Rectangle: Rounded Corners 50">
              <a:extLst>
                <a:ext uri="{FF2B5EF4-FFF2-40B4-BE49-F238E27FC236}">
                  <a16:creationId xmlns:a16="http://schemas.microsoft.com/office/drawing/2014/main" id="{00000000-0008-0000-0300-000033000000}"/>
                </a:ext>
              </a:extLst>
            </xdr:cNvPr>
            <xdr:cNvSpPr/>
          </xdr:nvSpPr>
          <xdr:spPr>
            <a:xfrm>
              <a:off x="2949608" y="4365158"/>
              <a:ext cx="657187" cy="553282"/>
            </a:xfrm>
            <a:prstGeom prst="roundRect">
              <a:avLst/>
            </a:prstGeom>
            <a:gradFill>
              <a:gsLst>
                <a:gs pos="100000">
                  <a:schemeClr val="bg1"/>
                </a:gs>
                <a:gs pos="0">
                  <a:srgbClr val="FC3C3C"/>
                </a:gs>
              </a:gsLst>
              <a:lin ang="27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2EF91C1D-AC31-4798-A3C2-56E6AC9A9584}" type="TxLink">
                <a:rPr lang="en-US" sz="1400" b="0" i="0" u="none" strike="noStrike">
                  <a:solidFill>
                    <a:srgbClr val="000000"/>
                  </a:solidFill>
                  <a:latin typeface="Abadi" panose="020B0604020104020204" pitchFamily="34" charset="0"/>
                  <a:ea typeface="+mn-ea"/>
                  <a:cs typeface="Calibri"/>
                </a:rPr>
                <a:pPr marL="0" indent="0" algn="ctr"/>
                <a:t>15%</a:t>
              </a:fld>
              <a:endParaRPr lang="en-US" sz="1400" b="0" i="0" u="none" strike="noStrike">
                <a:solidFill>
                  <a:srgbClr val="000000"/>
                </a:solidFill>
                <a:latin typeface="Abadi" panose="020B0604020104020204" pitchFamily="34" charset="0"/>
                <a:ea typeface="+mn-ea"/>
                <a:cs typeface="Calibri"/>
              </a:endParaRPr>
            </a:p>
          </xdr:txBody>
        </xdr:sp>
      </xdr:grpSp>
      <xdr:sp macro="" textlink="">
        <xdr:nvSpPr>
          <xdr:cNvPr id="52" name="TextBox 51">
            <a:extLst>
              <a:ext uri="{FF2B5EF4-FFF2-40B4-BE49-F238E27FC236}">
                <a16:creationId xmlns:a16="http://schemas.microsoft.com/office/drawing/2014/main" id="{00000000-0008-0000-0300-000034000000}"/>
              </a:ext>
            </a:extLst>
          </xdr:cNvPr>
          <xdr:cNvSpPr txBox="1"/>
        </xdr:nvSpPr>
        <xdr:spPr>
          <a:xfrm>
            <a:off x="940103" y="5383137"/>
            <a:ext cx="2274579" cy="4842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b="0">
                <a:latin typeface="Abadi" panose="020B0604020104020204" pitchFamily="34" charset="0"/>
              </a:rPr>
              <a:t>Overall Fail Rate %</a:t>
            </a:r>
          </a:p>
        </xdr:txBody>
      </xdr:sp>
      <xdr:grpSp>
        <xdr:nvGrpSpPr>
          <xdr:cNvPr id="11" name="Group 10">
            <a:extLst>
              <a:ext uri="{FF2B5EF4-FFF2-40B4-BE49-F238E27FC236}">
                <a16:creationId xmlns:a16="http://schemas.microsoft.com/office/drawing/2014/main" id="{00000000-0008-0000-0300-00000B000000}"/>
              </a:ext>
            </a:extLst>
          </xdr:cNvPr>
          <xdr:cNvGrpSpPr/>
        </xdr:nvGrpSpPr>
        <xdr:grpSpPr>
          <a:xfrm>
            <a:off x="1313390" y="2512205"/>
            <a:ext cx="1247548" cy="279221"/>
            <a:chOff x="949630" y="2271362"/>
            <a:chExt cx="1247548" cy="279221"/>
          </a:xfrm>
        </xdr:grpSpPr>
        <xdr:sp macro="" textlink="'Data Preparation'!T1">
          <xdr:nvSpPr>
            <xdr:cNvPr id="68" name="Rectangle: Rounded Corners 67">
              <a:extLst>
                <a:ext uri="{FF2B5EF4-FFF2-40B4-BE49-F238E27FC236}">
                  <a16:creationId xmlns:a16="http://schemas.microsoft.com/office/drawing/2014/main" id="{00000000-0008-0000-0300-000044000000}"/>
                </a:ext>
              </a:extLst>
            </xdr:cNvPr>
            <xdr:cNvSpPr/>
          </xdr:nvSpPr>
          <xdr:spPr>
            <a:xfrm>
              <a:off x="1525999" y="2271362"/>
              <a:ext cx="671179" cy="279221"/>
            </a:xfrm>
            <a:prstGeom prst="roundRect">
              <a:avLst/>
            </a:prstGeom>
            <a:gradFill>
              <a:gsLst>
                <a:gs pos="100000">
                  <a:schemeClr val="accent5">
                    <a:lumMod val="20000"/>
                    <a:lumOff val="80000"/>
                  </a:schemeClr>
                </a:gs>
                <a:gs pos="0">
                  <a:schemeClr val="accent5">
                    <a:lumMod val="60000"/>
                    <a:lumOff val="40000"/>
                  </a:schemeClr>
                </a:gs>
              </a:gsLst>
              <a:lin ang="27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E2D5079A-D598-4502-A3D5-F0D628B4A410}" type="TxLink">
                <a:rPr lang="en-US" sz="1200" b="0" i="0" u="none" strike="noStrike">
                  <a:solidFill>
                    <a:srgbClr val="000000"/>
                  </a:solidFill>
                  <a:latin typeface="Abadi" panose="020B0604020104020204" pitchFamily="34" charset="0"/>
                  <a:ea typeface="+mn-ea"/>
                  <a:cs typeface="Calibri"/>
                </a:rPr>
                <a:pPr marL="0" indent="0" algn="ctr"/>
                <a:t>85%</a:t>
              </a:fld>
              <a:endParaRPr lang="en-US" sz="1400" b="0" i="0" u="none" strike="noStrike">
                <a:solidFill>
                  <a:srgbClr val="000000"/>
                </a:solidFill>
                <a:latin typeface="Abadi" panose="020B0604020104020204" pitchFamily="34" charset="0"/>
                <a:ea typeface="+mn-ea"/>
                <a:cs typeface="Calibri"/>
              </a:endParaRPr>
            </a:p>
          </xdr:txBody>
        </xdr:sp>
        <xdr:sp macro="" textlink="">
          <xdr:nvSpPr>
            <xdr:cNvPr id="71" name="TextBox 70">
              <a:extLst>
                <a:ext uri="{FF2B5EF4-FFF2-40B4-BE49-F238E27FC236}">
                  <a16:creationId xmlns:a16="http://schemas.microsoft.com/office/drawing/2014/main" id="{00000000-0008-0000-0300-000047000000}"/>
                </a:ext>
              </a:extLst>
            </xdr:cNvPr>
            <xdr:cNvSpPr txBox="1"/>
          </xdr:nvSpPr>
          <xdr:spPr>
            <a:xfrm>
              <a:off x="949630" y="2276150"/>
              <a:ext cx="719513" cy="2696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200">
                  <a:latin typeface="Abadi" panose="020B0604020104020204" pitchFamily="34" charset="0"/>
                </a:rPr>
                <a:t>Target</a:t>
              </a:r>
            </a:p>
          </xdr:txBody>
        </xdr:sp>
      </xdr:grpSp>
      <xdr:graphicFrame macro="">
        <xdr:nvGraphicFramePr>
          <xdr:cNvPr id="72" name="Chart 71">
            <a:extLst>
              <a:ext uri="{FF2B5EF4-FFF2-40B4-BE49-F238E27FC236}">
                <a16:creationId xmlns:a16="http://schemas.microsoft.com/office/drawing/2014/main" id="{00000000-0008-0000-0300-000048000000}"/>
              </a:ext>
            </a:extLst>
          </xdr:cNvPr>
          <xdr:cNvGraphicFramePr>
            <a:graphicFrameLocks/>
          </xdr:cNvGraphicFramePr>
        </xdr:nvGraphicFramePr>
        <xdr:xfrm>
          <a:off x="179916" y="2800801"/>
          <a:ext cx="2494643" cy="2471208"/>
        </xdr:xfrm>
        <a:graphic>
          <a:graphicData uri="http://schemas.openxmlformats.org/drawingml/2006/chart">
            <c:chart xmlns:c="http://schemas.openxmlformats.org/drawingml/2006/chart" xmlns:r="http://schemas.openxmlformats.org/officeDocument/2006/relationships" r:id="rId8"/>
          </a:graphicData>
        </a:graphic>
      </xdr:graphicFrame>
    </xdr:grpSp>
    <xdr:clientData/>
  </xdr:twoCellAnchor>
  <xdr:twoCellAnchor>
    <xdr:from>
      <xdr:col>1</xdr:col>
      <xdr:colOff>817568</xdr:colOff>
      <xdr:row>39</xdr:row>
      <xdr:rowOff>0</xdr:rowOff>
    </xdr:from>
    <xdr:to>
      <xdr:col>10</xdr:col>
      <xdr:colOff>1293818</xdr:colOff>
      <xdr:row>51</xdr:row>
      <xdr:rowOff>238125</xdr:rowOff>
    </xdr:to>
    <xdr:sp macro="" textlink="">
      <xdr:nvSpPr>
        <xdr:cNvPr id="74" name="Rectangle: Rounded Corners 73">
          <a:extLst>
            <a:ext uri="{FF2B5EF4-FFF2-40B4-BE49-F238E27FC236}">
              <a16:creationId xmlns:a16="http://schemas.microsoft.com/office/drawing/2014/main" id="{00000000-0008-0000-0300-00004A000000}"/>
            </a:ext>
          </a:extLst>
        </xdr:cNvPr>
        <xdr:cNvSpPr/>
      </xdr:nvSpPr>
      <xdr:spPr>
        <a:xfrm>
          <a:off x="1174756" y="7715250"/>
          <a:ext cx="9763125" cy="4238625"/>
        </a:xfrm>
        <a:prstGeom prst="roundRect">
          <a:avLst/>
        </a:prstGeom>
        <a:solidFill>
          <a:schemeClr val="bg1"/>
        </a:solidFill>
        <a:ln>
          <a:noFill/>
        </a:ln>
        <a:effectLst>
          <a:outerShdw blurRad="127000" dist="38100" dir="2700000" algn="tl" rotWithShape="0">
            <a:schemeClr val="accent6">
              <a:lumMod val="75000"/>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1009630</xdr:colOff>
      <xdr:row>40</xdr:row>
      <xdr:rowOff>95250</xdr:rowOff>
    </xdr:from>
    <xdr:to>
      <xdr:col>10</xdr:col>
      <xdr:colOff>957710</xdr:colOff>
      <xdr:row>51</xdr:row>
      <xdr:rowOff>261937</xdr:rowOff>
    </xdr:to>
    <xdr:graphicFrame macro="">
      <xdr:nvGraphicFramePr>
        <xdr:cNvPr id="73" name="Chart 72">
          <a:extLst>
            <a:ext uri="{FF2B5EF4-FFF2-40B4-BE49-F238E27FC236}">
              <a16:creationId xmlns:a16="http://schemas.microsoft.com/office/drawing/2014/main" id="{00000000-0008-0000-0300-00004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xdr:col>
      <xdr:colOff>298769</xdr:colOff>
      <xdr:row>39</xdr:row>
      <xdr:rowOff>71441</xdr:rowOff>
    </xdr:from>
    <xdr:to>
      <xdr:col>7</xdr:col>
      <xdr:colOff>1749371</xdr:colOff>
      <xdr:row>40</xdr:row>
      <xdr:rowOff>293384</xdr:rowOff>
    </xdr:to>
    <xdr:sp macro="" textlink="">
      <xdr:nvSpPr>
        <xdr:cNvPr id="76" name="TextBox 75">
          <a:extLst>
            <a:ext uri="{FF2B5EF4-FFF2-40B4-BE49-F238E27FC236}">
              <a16:creationId xmlns:a16="http://schemas.microsoft.com/office/drawing/2014/main" id="{00000000-0008-0000-0300-00004C000000}"/>
            </a:ext>
          </a:extLst>
        </xdr:cNvPr>
        <xdr:cNvSpPr txBox="1"/>
      </xdr:nvSpPr>
      <xdr:spPr>
        <a:xfrm>
          <a:off x="3751582" y="7786691"/>
          <a:ext cx="4546227" cy="555318"/>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2400" b="0">
              <a:latin typeface="Abadi" panose="020B0604020104020204" pitchFamily="34" charset="0"/>
            </a:rPr>
            <a:t>Top Failed Attributes</a:t>
          </a:r>
        </a:p>
      </xdr:txBody>
    </xdr:sp>
    <xdr:clientData/>
  </xdr:twoCellAnchor>
  <xdr:twoCellAnchor>
    <xdr:from>
      <xdr:col>1</xdr:col>
      <xdr:colOff>377032</xdr:colOff>
      <xdr:row>34</xdr:row>
      <xdr:rowOff>45244</xdr:rowOff>
    </xdr:from>
    <xdr:to>
      <xdr:col>1</xdr:col>
      <xdr:colOff>2537032</xdr:colOff>
      <xdr:row>37</xdr:row>
      <xdr:rowOff>319087</xdr:rowOff>
    </xdr:to>
    <xdr:grpSp>
      <xdr:nvGrpSpPr>
        <xdr:cNvPr id="12" name="Group 11">
          <a:extLst>
            <a:ext uri="{FF2B5EF4-FFF2-40B4-BE49-F238E27FC236}">
              <a16:creationId xmlns:a16="http://schemas.microsoft.com/office/drawing/2014/main" id="{00000000-0008-0000-0300-00000C000000}"/>
            </a:ext>
          </a:extLst>
        </xdr:cNvPr>
        <xdr:cNvGrpSpPr/>
      </xdr:nvGrpSpPr>
      <xdr:grpSpPr>
        <a:xfrm>
          <a:off x="734220" y="6522244"/>
          <a:ext cx="2160000" cy="845343"/>
          <a:chOff x="869157" y="6500812"/>
          <a:chExt cx="2931318" cy="845343"/>
        </a:xfrm>
      </xdr:grpSpPr>
      <mc:AlternateContent xmlns:mc="http://schemas.openxmlformats.org/markup-compatibility/2006">
        <mc:Choice xmlns:a14="http://schemas.microsoft.com/office/drawing/2010/main" Requires="a14">
          <xdr:sp macro="" textlink="">
            <xdr:nvSpPr>
              <xdr:cNvPr id="4108" name="MonthTopFailDD" hidden="1">
                <a:extLst>
                  <a:ext uri="{63B3BB69-23CF-44E3-9099-C40C66FF867C}">
                    <a14:compatExt spid="_x0000_s4108"/>
                  </a:ext>
                  <a:ext uri="{FF2B5EF4-FFF2-40B4-BE49-F238E27FC236}">
                    <a16:creationId xmlns:a16="http://schemas.microsoft.com/office/drawing/2014/main" id="{00000000-0008-0000-0300-00000C100000}"/>
                  </a:ext>
                </a:extLst>
              </xdr:cNvPr>
              <xdr:cNvSpPr/>
            </xdr:nvSpPr>
            <xdr:spPr bwMode="auto">
              <a:xfrm>
                <a:off x="869157" y="6872287"/>
                <a:ext cx="2931318" cy="368300"/>
              </a:xfrm>
              <a:prstGeom prst="rect">
                <a:avLst/>
              </a:prstGeom>
              <a:noFill/>
              <a:ln>
                <a:noFill/>
              </a:ln>
              <a:extLst>
                <a:ext uri="{91240B29-F687-4F45-9708-019B960494DF}">
                  <a14:hiddenLine w="9525">
                    <a:noFill/>
                    <a:miter lim="800000"/>
                    <a:headEnd/>
                    <a:tailEnd/>
                  </a14:hiddenLine>
                </a:ext>
              </a:extLst>
            </xdr:spPr>
          </xdr:sp>
        </mc:Choice>
        <mc:Fallback/>
      </mc:AlternateContent>
      <xdr:grpSp>
        <xdr:nvGrpSpPr>
          <xdr:cNvPr id="6" name="Group 5">
            <a:extLst>
              <a:ext uri="{FF2B5EF4-FFF2-40B4-BE49-F238E27FC236}">
                <a16:creationId xmlns:a16="http://schemas.microsoft.com/office/drawing/2014/main" id="{00000000-0008-0000-0300-000006000000}"/>
              </a:ext>
            </a:extLst>
          </xdr:cNvPr>
          <xdr:cNvGrpSpPr/>
        </xdr:nvGrpSpPr>
        <xdr:grpSpPr>
          <a:xfrm>
            <a:off x="869157" y="6500812"/>
            <a:ext cx="2905125" cy="845343"/>
            <a:chOff x="869157" y="6500812"/>
            <a:chExt cx="2905125" cy="845343"/>
          </a:xfrm>
        </xdr:grpSpPr>
        <xdr:sp macro="" textlink="">
          <xdr:nvSpPr>
            <xdr:cNvPr id="64" name="Rectangle: Rounded Corners 63">
              <a:extLst>
                <a:ext uri="{FF2B5EF4-FFF2-40B4-BE49-F238E27FC236}">
                  <a16:creationId xmlns:a16="http://schemas.microsoft.com/office/drawing/2014/main" id="{00000000-0008-0000-0300-000040000000}"/>
                </a:ext>
              </a:extLst>
            </xdr:cNvPr>
            <xdr:cNvSpPr/>
          </xdr:nvSpPr>
          <xdr:spPr>
            <a:xfrm>
              <a:off x="869157" y="6500812"/>
              <a:ext cx="2905125" cy="845343"/>
            </a:xfrm>
            <a:prstGeom prst="roundRect">
              <a:avLst/>
            </a:prstGeom>
            <a:noFill/>
            <a:ln>
              <a:gradFill>
                <a:gsLst>
                  <a:gs pos="0">
                    <a:schemeClr val="tx1">
                      <a:lumMod val="75000"/>
                      <a:lumOff val="25000"/>
                    </a:schemeClr>
                  </a:gs>
                  <a:gs pos="100000">
                    <a:schemeClr val="accent4">
                      <a:lumMod val="60000"/>
                      <a:lumOff val="40000"/>
                    </a:schemeClr>
                  </a:gs>
                </a:gsLst>
                <a:lin ang="5400000" scaled="0"/>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7" name="TextBox 76">
              <a:extLst>
                <a:ext uri="{FF2B5EF4-FFF2-40B4-BE49-F238E27FC236}">
                  <a16:creationId xmlns:a16="http://schemas.microsoft.com/office/drawing/2014/main" id="{00000000-0008-0000-0300-00004D000000}"/>
                </a:ext>
              </a:extLst>
            </xdr:cNvPr>
            <xdr:cNvSpPr txBox="1"/>
          </xdr:nvSpPr>
          <xdr:spPr>
            <a:xfrm>
              <a:off x="1674139" y="6512393"/>
              <a:ext cx="1295159" cy="2543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0" i="0">
                  <a:latin typeface="Abadi" panose="020B0604020104020204" pitchFamily="34" charset="0"/>
                </a:rPr>
                <a:t>Select Month</a:t>
              </a:r>
            </a:p>
          </xdr:txBody>
        </xdr:sp>
      </xdr:grpSp>
    </xdr:grpSp>
    <xdr:clientData/>
  </xdr:twoCellAnchor>
  <xdr:twoCellAnchor>
    <xdr:from>
      <xdr:col>3</xdr:col>
      <xdr:colOff>98680</xdr:colOff>
      <xdr:row>34</xdr:row>
      <xdr:rowOff>45244</xdr:rowOff>
    </xdr:from>
    <xdr:to>
      <xdr:col>4</xdr:col>
      <xdr:colOff>2074530</xdr:colOff>
      <xdr:row>37</xdr:row>
      <xdr:rowOff>319087</xdr:rowOff>
    </xdr:to>
    <xdr:grpSp>
      <xdr:nvGrpSpPr>
        <xdr:cNvPr id="14" name="Group 13">
          <a:extLst>
            <a:ext uri="{FF2B5EF4-FFF2-40B4-BE49-F238E27FC236}">
              <a16:creationId xmlns:a16="http://schemas.microsoft.com/office/drawing/2014/main" id="{00000000-0008-0000-0300-00000E000000}"/>
            </a:ext>
          </a:extLst>
        </xdr:cNvPr>
        <xdr:cNvGrpSpPr/>
      </xdr:nvGrpSpPr>
      <xdr:grpSpPr>
        <a:xfrm>
          <a:off x="3360993" y="6522244"/>
          <a:ext cx="2166350" cy="845343"/>
          <a:chOff x="4331483" y="6541294"/>
          <a:chExt cx="2933714" cy="845343"/>
        </a:xfrm>
      </xdr:grpSpPr>
      <mc:AlternateContent xmlns:mc="http://schemas.openxmlformats.org/markup-compatibility/2006">
        <mc:Choice xmlns:a14="http://schemas.microsoft.com/office/drawing/2010/main" Requires="a14">
          <xdr:sp macro="" textlink="">
            <xdr:nvSpPr>
              <xdr:cNvPr id="4113" name="WeekTopFailDD" hidden="1">
                <a:extLst>
                  <a:ext uri="{63B3BB69-23CF-44E3-9099-C40C66FF867C}">
                    <a14:compatExt spid="_x0000_s4113"/>
                  </a:ext>
                  <a:ext uri="{FF2B5EF4-FFF2-40B4-BE49-F238E27FC236}">
                    <a16:creationId xmlns:a16="http://schemas.microsoft.com/office/drawing/2014/main" id="{00000000-0008-0000-0300-000011100000}"/>
                  </a:ext>
                </a:extLst>
              </xdr:cNvPr>
              <xdr:cNvSpPr/>
            </xdr:nvSpPr>
            <xdr:spPr bwMode="auto">
              <a:xfrm>
                <a:off x="4336258" y="6896100"/>
                <a:ext cx="2928939" cy="368300"/>
              </a:xfrm>
              <a:prstGeom prst="rect">
                <a:avLst/>
              </a:prstGeom>
              <a:noFill/>
              <a:ln>
                <a:noFill/>
              </a:ln>
              <a:extLst>
                <a:ext uri="{91240B29-F687-4F45-9708-019B960494DF}">
                  <a14:hiddenLine w="9525">
                    <a:noFill/>
                    <a:miter lim="800000"/>
                    <a:headEnd/>
                    <a:tailEnd/>
                  </a14:hiddenLine>
                </a:ext>
              </a:extLst>
            </xdr:spPr>
          </xdr:sp>
        </mc:Choice>
        <mc:Fallback/>
      </mc:AlternateContent>
      <xdr:grpSp>
        <xdr:nvGrpSpPr>
          <xdr:cNvPr id="78" name="Group 77">
            <a:extLst>
              <a:ext uri="{FF2B5EF4-FFF2-40B4-BE49-F238E27FC236}">
                <a16:creationId xmlns:a16="http://schemas.microsoft.com/office/drawing/2014/main" id="{00000000-0008-0000-0300-00004E000000}"/>
              </a:ext>
            </a:extLst>
          </xdr:cNvPr>
          <xdr:cNvGrpSpPr/>
        </xdr:nvGrpSpPr>
        <xdr:grpSpPr>
          <a:xfrm>
            <a:off x="4331483" y="6541294"/>
            <a:ext cx="2905125" cy="845343"/>
            <a:chOff x="869157" y="6500812"/>
            <a:chExt cx="2905125" cy="845343"/>
          </a:xfrm>
        </xdr:grpSpPr>
        <xdr:sp macro="" textlink="">
          <xdr:nvSpPr>
            <xdr:cNvPr id="79" name="Rectangle: Rounded Corners 78">
              <a:extLst>
                <a:ext uri="{FF2B5EF4-FFF2-40B4-BE49-F238E27FC236}">
                  <a16:creationId xmlns:a16="http://schemas.microsoft.com/office/drawing/2014/main" id="{00000000-0008-0000-0300-00004F000000}"/>
                </a:ext>
              </a:extLst>
            </xdr:cNvPr>
            <xdr:cNvSpPr/>
          </xdr:nvSpPr>
          <xdr:spPr>
            <a:xfrm>
              <a:off x="869157" y="6500812"/>
              <a:ext cx="2905125" cy="845343"/>
            </a:xfrm>
            <a:prstGeom prst="roundRect">
              <a:avLst/>
            </a:prstGeom>
            <a:noFill/>
            <a:ln>
              <a:gradFill>
                <a:gsLst>
                  <a:gs pos="0">
                    <a:schemeClr val="tx1">
                      <a:lumMod val="75000"/>
                      <a:lumOff val="25000"/>
                    </a:schemeClr>
                  </a:gs>
                  <a:gs pos="100000">
                    <a:schemeClr val="accent4">
                      <a:lumMod val="60000"/>
                      <a:lumOff val="40000"/>
                    </a:schemeClr>
                  </a:gs>
                </a:gsLst>
                <a:lin ang="5400000" scaled="0"/>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0" name="TextBox 79">
              <a:extLst>
                <a:ext uri="{FF2B5EF4-FFF2-40B4-BE49-F238E27FC236}">
                  <a16:creationId xmlns:a16="http://schemas.microsoft.com/office/drawing/2014/main" id="{00000000-0008-0000-0300-000050000000}"/>
                </a:ext>
              </a:extLst>
            </xdr:cNvPr>
            <xdr:cNvSpPr txBox="1"/>
          </xdr:nvSpPr>
          <xdr:spPr>
            <a:xfrm>
              <a:off x="1687168" y="6512393"/>
              <a:ext cx="1269104" cy="2543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0" i="0">
                  <a:latin typeface="Abadi" panose="020B0604020104020204" pitchFamily="34" charset="0"/>
                </a:rPr>
                <a:t>Select Week</a:t>
              </a:r>
            </a:p>
          </xdr:txBody>
        </xdr:sp>
      </xdr:grpSp>
    </xdr:grpSp>
    <xdr:clientData/>
  </xdr:twoCellAnchor>
  <xdr:twoCellAnchor>
    <xdr:from>
      <xdr:col>4</xdr:col>
      <xdr:colOff>2541303</xdr:colOff>
      <xdr:row>34</xdr:row>
      <xdr:rowOff>45244</xdr:rowOff>
    </xdr:from>
    <xdr:to>
      <xdr:col>7</xdr:col>
      <xdr:colOff>1637428</xdr:colOff>
      <xdr:row>37</xdr:row>
      <xdr:rowOff>319087</xdr:rowOff>
    </xdr:to>
    <xdr:grpSp>
      <xdr:nvGrpSpPr>
        <xdr:cNvPr id="15" name="Group 14">
          <a:extLst>
            <a:ext uri="{FF2B5EF4-FFF2-40B4-BE49-F238E27FC236}">
              <a16:creationId xmlns:a16="http://schemas.microsoft.com/office/drawing/2014/main" id="{00000000-0008-0000-0300-00000F000000}"/>
            </a:ext>
          </a:extLst>
        </xdr:cNvPr>
        <xdr:cNvGrpSpPr/>
      </xdr:nvGrpSpPr>
      <xdr:grpSpPr>
        <a:xfrm>
          <a:off x="5994116" y="6522244"/>
          <a:ext cx="2191750" cy="845343"/>
          <a:chOff x="6900838" y="6527007"/>
          <a:chExt cx="2936102" cy="845343"/>
        </a:xfrm>
      </xdr:grpSpPr>
      <mc:AlternateContent xmlns:mc="http://schemas.openxmlformats.org/markup-compatibility/2006">
        <mc:Choice xmlns:a14="http://schemas.microsoft.com/office/drawing/2010/main" Requires="a14">
          <xdr:sp macro="" textlink="">
            <xdr:nvSpPr>
              <xdr:cNvPr id="4117" name="RegionTopFailDD" hidden="1">
                <a:extLst>
                  <a:ext uri="{63B3BB69-23CF-44E3-9099-C40C66FF867C}">
                    <a14:compatExt spid="_x0000_s4117"/>
                  </a:ext>
                  <a:ext uri="{FF2B5EF4-FFF2-40B4-BE49-F238E27FC236}">
                    <a16:creationId xmlns:a16="http://schemas.microsoft.com/office/drawing/2014/main" id="{00000000-0008-0000-0300-000015100000}"/>
                  </a:ext>
                </a:extLst>
              </xdr:cNvPr>
              <xdr:cNvSpPr/>
            </xdr:nvSpPr>
            <xdr:spPr bwMode="auto">
              <a:xfrm>
                <a:off x="6908005" y="6867525"/>
                <a:ext cx="2928935" cy="368300"/>
              </a:xfrm>
              <a:prstGeom prst="rect">
                <a:avLst/>
              </a:prstGeom>
              <a:noFill/>
              <a:ln>
                <a:noFill/>
              </a:ln>
              <a:extLst>
                <a:ext uri="{91240B29-F687-4F45-9708-019B960494DF}">
                  <a14:hiddenLine w="9525">
                    <a:noFill/>
                    <a:miter lim="800000"/>
                    <a:headEnd/>
                    <a:tailEnd/>
                  </a14:hiddenLine>
                </a:ext>
              </a:extLst>
            </xdr:spPr>
          </xdr:sp>
        </mc:Choice>
        <mc:Fallback/>
      </mc:AlternateContent>
      <xdr:grpSp>
        <xdr:nvGrpSpPr>
          <xdr:cNvPr id="82" name="Group 81">
            <a:extLst>
              <a:ext uri="{FF2B5EF4-FFF2-40B4-BE49-F238E27FC236}">
                <a16:creationId xmlns:a16="http://schemas.microsoft.com/office/drawing/2014/main" id="{00000000-0008-0000-0300-000052000000}"/>
              </a:ext>
            </a:extLst>
          </xdr:cNvPr>
          <xdr:cNvGrpSpPr/>
        </xdr:nvGrpSpPr>
        <xdr:grpSpPr>
          <a:xfrm>
            <a:off x="6900838" y="6527007"/>
            <a:ext cx="2905125" cy="845343"/>
            <a:chOff x="869157" y="6500812"/>
            <a:chExt cx="2905125" cy="845343"/>
          </a:xfrm>
        </xdr:grpSpPr>
        <xdr:sp macro="" textlink="">
          <xdr:nvSpPr>
            <xdr:cNvPr id="84" name="Rectangle: Rounded Corners 83">
              <a:extLst>
                <a:ext uri="{FF2B5EF4-FFF2-40B4-BE49-F238E27FC236}">
                  <a16:creationId xmlns:a16="http://schemas.microsoft.com/office/drawing/2014/main" id="{00000000-0008-0000-0300-000054000000}"/>
                </a:ext>
              </a:extLst>
            </xdr:cNvPr>
            <xdr:cNvSpPr/>
          </xdr:nvSpPr>
          <xdr:spPr>
            <a:xfrm>
              <a:off x="869157" y="6500812"/>
              <a:ext cx="2905125" cy="845343"/>
            </a:xfrm>
            <a:prstGeom prst="roundRect">
              <a:avLst/>
            </a:prstGeom>
            <a:noFill/>
            <a:ln>
              <a:gradFill>
                <a:gsLst>
                  <a:gs pos="0">
                    <a:schemeClr val="tx1">
                      <a:lumMod val="75000"/>
                      <a:lumOff val="25000"/>
                    </a:schemeClr>
                  </a:gs>
                  <a:gs pos="100000">
                    <a:schemeClr val="accent4">
                      <a:lumMod val="60000"/>
                      <a:lumOff val="40000"/>
                    </a:schemeClr>
                  </a:gs>
                </a:gsLst>
                <a:lin ang="5400000" scaled="0"/>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5" name="TextBox 84">
              <a:extLst>
                <a:ext uri="{FF2B5EF4-FFF2-40B4-BE49-F238E27FC236}">
                  <a16:creationId xmlns:a16="http://schemas.microsoft.com/office/drawing/2014/main" id="{00000000-0008-0000-0300-000055000000}"/>
                </a:ext>
              </a:extLst>
            </xdr:cNvPr>
            <xdr:cNvSpPr txBox="1"/>
          </xdr:nvSpPr>
          <xdr:spPr>
            <a:xfrm>
              <a:off x="1607654" y="6512393"/>
              <a:ext cx="1428130" cy="2543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0" i="0">
                  <a:latin typeface="Abadi" panose="020B0604020104020204" pitchFamily="34" charset="0"/>
                </a:rPr>
                <a:t>Select Region</a:t>
              </a:r>
            </a:p>
          </xdr:txBody>
        </xdr:sp>
      </xdr:grpSp>
    </xdr:grpSp>
    <xdr:clientData/>
  </xdr:twoCellAnchor>
  <xdr:twoCellAnchor>
    <xdr:from>
      <xdr:col>7</xdr:col>
      <xdr:colOff>2104202</xdr:colOff>
      <xdr:row>34</xdr:row>
      <xdr:rowOff>45244</xdr:rowOff>
    </xdr:from>
    <xdr:to>
      <xdr:col>10</xdr:col>
      <xdr:colOff>2607471</xdr:colOff>
      <xdr:row>37</xdr:row>
      <xdr:rowOff>319087</xdr:rowOff>
    </xdr:to>
    <xdr:grpSp>
      <xdr:nvGrpSpPr>
        <xdr:cNvPr id="17" name="Group 16">
          <a:extLst>
            <a:ext uri="{FF2B5EF4-FFF2-40B4-BE49-F238E27FC236}">
              <a16:creationId xmlns:a16="http://schemas.microsoft.com/office/drawing/2014/main" id="{00000000-0008-0000-0300-000011000000}"/>
            </a:ext>
          </a:extLst>
        </xdr:cNvPr>
        <xdr:cNvGrpSpPr/>
      </xdr:nvGrpSpPr>
      <xdr:grpSpPr>
        <a:xfrm>
          <a:off x="8652640" y="6522244"/>
          <a:ext cx="3598894" cy="845343"/>
          <a:chOff x="9077296" y="6536532"/>
          <a:chExt cx="3579048" cy="845343"/>
        </a:xfrm>
      </xdr:grpSpPr>
      <mc:AlternateContent xmlns:mc="http://schemas.openxmlformats.org/markup-compatibility/2006">
        <mc:Choice xmlns:a14="http://schemas.microsoft.com/office/drawing/2010/main" Requires="a14">
          <xdr:sp macro="" textlink="">
            <xdr:nvSpPr>
              <xdr:cNvPr id="4118" name="AgentTopFailDD" hidden="1">
                <a:extLst>
                  <a:ext uri="{63B3BB69-23CF-44E3-9099-C40C66FF867C}">
                    <a14:compatExt spid="_x0000_s4118"/>
                  </a:ext>
                  <a:ext uri="{FF2B5EF4-FFF2-40B4-BE49-F238E27FC236}">
                    <a16:creationId xmlns:a16="http://schemas.microsoft.com/office/drawing/2014/main" id="{00000000-0008-0000-0300-000016100000}"/>
                  </a:ext>
                </a:extLst>
              </xdr:cNvPr>
              <xdr:cNvSpPr/>
            </xdr:nvSpPr>
            <xdr:spPr bwMode="auto">
              <a:xfrm>
                <a:off x="9084469" y="6879431"/>
                <a:ext cx="3571875" cy="368300"/>
              </a:xfrm>
              <a:prstGeom prst="rect">
                <a:avLst/>
              </a:prstGeom>
              <a:noFill/>
              <a:ln>
                <a:noFill/>
              </a:ln>
              <a:extLst>
                <a:ext uri="{91240B29-F687-4F45-9708-019B960494DF}">
                  <a14:hiddenLine w="9525">
                    <a:noFill/>
                    <a:miter lim="800000"/>
                    <a:headEnd/>
                    <a:tailEnd/>
                  </a14:hiddenLine>
                </a:ext>
              </a:extLst>
            </xdr:spPr>
          </xdr:sp>
        </mc:Choice>
        <mc:Fallback/>
      </mc:AlternateContent>
      <xdr:grpSp>
        <xdr:nvGrpSpPr>
          <xdr:cNvPr id="87" name="Group 86">
            <a:extLst>
              <a:ext uri="{FF2B5EF4-FFF2-40B4-BE49-F238E27FC236}">
                <a16:creationId xmlns:a16="http://schemas.microsoft.com/office/drawing/2014/main" id="{00000000-0008-0000-0300-000057000000}"/>
              </a:ext>
            </a:extLst>
          </xdr:cNvPr>
          <xdr:cNvGrpSpPr/>
        </xdr:nvGrpSpPr>
        <xdr:grpSpPr>
          <a:xfrm>
            <a:off x="9077296" y="6536532"/>
            <a:ext cx="3555235" cy="845343"/>
            <a:chOff x="869157" y="6500812"/>
            <a:chExt cx="2905125" cy="845343"/>
          </a:xfrm>
        </xdr:grpSpPr>
        <xdr:sp macro="" textlink="">
          <xdr:nvSpPr>
            <xdr:cNvPr id="88" name="Rectangle: Rounded Corners 87">
              <a:extLst>
                <a:ext uri="{FF2B5EF4-FFF2-40B4-BE49-F238E27FC236}">
                  <a16:creationId xmlns:a16="http://schemas.microsoft.com/office/drawing/2014/main" id="{00000000-0008-0000-0300-000058000000}"/>
                </a:ext>
              </a:extLst>
            </xdr:cNvPr>
            <xdr:cNvSpPr/>
          </xdr:nvSpPr>
          <xdr:spPr>
            <a:xfrm>
              <a:off x="869157" y="6500812"/>
              <a:ext cx="2905125" cy="845343"/>
            </a:xfrm>
            <a:prstGeom prst="roundRect">
              <a:avLst/>
            </a:prstGeom>
            <a:noFill/>
            <a:ln>
              <a:gradFill>
                <a:gsLst>
                  <a:gs pos="0">
                    <a:schemeClr val="tx1">
                      <a:lumMod val="75000"/>
                      <a:lumOff val="25000"/>
                    </a:schemeClr>
                  </a:gs>
                  <a:gs pos="100000">
                    <a:schemeClr val="accent4">
                      <a:lumMod val="60000"/>
                      <a:lumOff val="40000"/>
                    </a:schemeClr>
                  </a:gs>
                </a:gsLst>
                <a:lin ang="5400000" scaled="0"/>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9" name="TextBox 88">
              <a:extLst>
                <a:ext uri="{FF2B5EF4-FFF2-40B4-BE49-F238E27FC236}">
                  <a16:creationId xmlns:a16="http://schemas.microsoft.com/office/drawing/2014/main" id="{00000000-0008-0000-0300-000059000000}"/>
                </a:ext>
              </a:extLst>
            </xdr:cNvPr>
            <xdr:cNvSpPr txBox="1"/>
          </xdr:nvSpPr>
          <xdr:spPr>
            <a:xfrm>
              <a:off x="1846042" y="6512393"/>
              <a:ext cx="951355" cy="2543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0" i="0">
                  <a:latin typeface="Abadi" panose="020B0604020104020204" pitchFamily="34" charset="0"/>
                </a:rPr>
                <a:t>Select Agent</a:t>
              </a:r>
            </a:p>
          </xdr:txBody>
        </xdr:sp>
      </xdr:grpSp>
    </xdr:grpSp>
    <xdr:clientData/>
  </xdr:twoCellAnchor>
  <xdr:twoCellAnchor editAs="absolute">
    <xdr:from>
      <xdr:col>10</xdr:col>
      <xdr:colOff>1745456</xdr:colOff>
      <xdr:row>42</xdr:row>
      <xdr:rowOff>225578</xdr:rowOff>
    </xdr:from>
    <xdr:to>
      <xdr:col>11</xdr:col>
      <xdr:colOff>123030</xdr:colOff>
      <xdr:row>48</xdr:row>
      <xdr:rowOff>36358</xdr:rowOff>
    </xdr:to>
    <xdr:sp macro="[0]!ClearFiltersTopFailed" textlink="">
      <xdr:nvSpPr>
        <xdr:cNvPr id="90" name="Rectangle: Rounded Corners 89">
          <a:extLst>
            <a:ext uri="{FF2B5EF4-FFF2-40B4-BE49-F238E27FC236}">
              <a16:creationId xmlns:a16="http://schemas.microsoft.com/office/drawing/2014/main" id="{00000000-0008-0000-0300-00005A000000}"/>
            </a:ext>
          </a:extLst>
        </xdr:cNvPr>
        <xdr:cNvSpPr>
          <a:spLocks/>
        </xdr:cNvSpPr>
      </xdr:nvSpPr>
      <xdr:spPr>
        <a:xfrm>
          <a:off x="11318081" y="8940953"/>
          <a:ext cx="1092199" cy="1811030"/>
        </a:xfrm>
        <a:prstGeom prst="roundRect">
          <a:avLst/>
        </a:prstGeom>
        <a:gradFill>
          <a:gsLst>
            <a:gs pos="0">
              <a:srgbClr val="FFF2CC"/>
            </a:gs>
            <a:gs pos="100000">
              <a:srgbClr val="FFFF75"/>
            </a:gs>
          </a:gsLst>
          <a:lin ang="2700000" scaled="0"/>
        </a:gradFill>
        <a:ln>
          <a:solidFill>
            <a:srgbClr val="FFD96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0">
              <a:solidFill>
                <a:sysClr val="windowText" lastClr="000000"/>
              </a:solidFill>
              <a:latin typeface="Abadi" panose="020B0604020104020204" pitchFamily="34" charset="0"/>
            </a:rPr>
            <a:t>Clear Filters</a:t>
          </a:r>
        </a:p>
      </xdr:txBody>
    </xdr:sp>
    <xdr:clientData/>
  </xdr:twoCellAnchor>
  <xdr:twoCellAnchor>
    <xdr:from>
      <xdr:col>4</xdr:col>
      <xdr:colOff>476240</xdr:colOff>
      <xdr:row>11</xdr:row>
      <xdr:rowOff>111125</xdr:rowOff>
    </xdr:from>
    <xdr:to>
      <xdr:col>7</xdr:col>
      <xdr:colOff>887901</xdr:colOff>
      <xdr:row>31</xdr:row>
      <xdr:rowOff>57150</xdr:rowOff>
    </xdr:to>
    <xdr:grpSp>
      <xdr:nvGrpSpPr>
        <xdr:cNvPr id="25" name="Group 24">
          <a:extLst>
            <a:ext uri="{FF2B5EF4-FFF2-40B4-BE49-F238E27FC236}">
              <a16:creationId xmlns:a16="http://schemas.microsoft.com/office/drawing/2014/main" id="{00000000-0008-0000-0300-000019000000}"/>
            </a:ext>
          </a:extLst>
        </xdr:cNvPr>
        <xdr:cNvGrpSpPr/>
      </xdr:nvGrpSpPr>
      <xdr:grpSpPr>
        <a:xfrm>
          <a:off x="3929053" y="2206625"/>
          <a:ext cx="3507286" cy="3756025"/>
          <a:chOff x="3932454" y="2206625"/>
          <a:chExt cx="3486876" cy="3756025"/>
        </a:xfrm>
      </xdr:grpSpPr>
      <xdr:sp macro="" textlink="">
        <xdr:nvSpPr>
          <xdr:cNvPr id="19" name="Rectangle: Rounded Corners 18">
            <a:extLst>
              <a:ext uri="{FF2B5EF4-FFF2-40B4-BE49-F238E27FC236}">
                <a16:creationId xmlns:a16="http://schemas.microsoft.com/office/drawing/2014/main" id="{00000000-0008-0000-0300-000013000000}"/>
              </a:ext>
            </a:extLst>
          </xdr:cNvPr>
          <xdr:cNvSpPr/>
        </xdr:nvSpPr>
        <xdr:spPr>
          <a:xfrm>
            <a:off x="3997061" y="2206625"/>
            <a:ext cx="3422269" cy="3756025"/>
          </a:xfrm>
          <a:prstGeom prst="roundRect">
            <a:avLst/>
          </a:prstGeom>
          <a:solidFill>
            <a:schemeClr val="bg1"/>
          </a:solidFill>
          <a:ln>
            <a:noFill/>
          </a:ln>
          <a:effectLst>
            <a:outerShdw blurRad="127000" dist="38100" dir="2700000" algn="tl" rotWithShape="0">
              <a:schemeClr val="accent6">
                <a:alpha val="2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3" name="TextBox 22">
            <a:extLst>
              <a:ext uri="{FF2B5EF4-FFF2-40B4-BE49-F238E27FC236}">
                <a16:creationId xmlns:a16="http://schemas.microsoft.com/office/drawing/2014/main" id="{00000000-0008-0000-0300-000017000000}"/>
              </a:ext>
            </a:extLst>
          </xdr:cNvPr>
          <xdr:cNvSpPr txBox="1"/>
        </xdr:nvSpPr>
        <xdr:spPr>
          <a:xfrm>
            <a:off x="4386230" y="5383137"/>
            <a:ext cx="2643930" cy="4842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b="0">
                <a:latin typeface="Abadi" panose="020B0604020104020204" pitchFamily="34" charset="0"/>
              </a:rPr>
              <a:t>Product Knowledge %</a:t>
            </a:r>
          </a:p>
        </xdr:txBody>
      </xdr:sp>
      <xdr:grpSp>
        <xdr:nvGrpSpPr>
          <xdr:cNvPr id="22" name="Group 21">
            <a:extLst>
              <a:ext uri="{FF2B5EF4-FFF2-40B4-BE49-F238E27FC236}">
                <a16:creationId xmlns:a16="http://schemas.microsoft.com/office/drawing/2014/main" id="{00000000-0008-0000-0300-000016000000}"/>
              </a:ext>
            </a:extLst>
          </xdr:cNvPr>
          <xdr:cNvGrpSpPr/>
        </xdr:nvGrpSpPr>
        <xdr:grpSpPr>
          <a:xfrm>
            <a:off x="5984345" y="3174571"/>
            <a:ext cx="1319364" cy="1743869"/>
            <a:chOff x="5984345" y="3174571"/>
            <a:chExt cx="1319364" cy="1743869"/>
          </a:xfrm>
        </xdr:grpSpPr>
        <xdr:sp macro="" textlink="">
          <xdr:nvSpPr>
            <xdr:cNvPr id="24" name="TextBox 23">
              <a:extLst>
                <a:ext uri="{FF2B5EF4-FFF2-40B4-BE49-F238E27FC236}">
                  <a16:creationId xmlns:a16="http://schemas.microsoft.com/office/drawing/2014/main" id="{00000000-0008-0000-0300-000018000000}"/>
                </a:ext>
              </a:extLst>
            </xdr:cNvPr>
            <xdr:cNvSpPr txBox="1"/>
          </xdr:nvSpPr>
          <xdr:spPr>
            <a:xfrm>
              <a:off x="5984345" y="3184147"/>
              <a:ext cx="615158" cy="5341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500">
                  <a:latin typeface="Abadi" panose="020B0604020104020204" pitchFamily="34" charset="0"/>
                </a:rPr>
                <a:t>Pass</a:t>
              </a:r>
            </a:p>
          </xdr:txBody>
        </xdr:sp>
        <xdr:sp macro="" textlink="'Data Preparation'!K6">
          <xdr:nvSpPr>
            <xdr:cNvPr id="34" name="Rectangle: Rounded Corners 33">
              <a:extLst>
                <a:ext uri="{FF2B5EF4-FFF2-40B4-BE49-F238E27FC236}">
                  <a16:creationId xmlns:a16="http://schemas.microsoft.com/office/drawing/2014/main" id="{00000000-0008-0000-0300-000022000000}"/>
                </a:ext>
              </a:extLst>
            </xdr:cNvPr>
            <xdr:cNvSpPr/>
          </xdr:nvSpPr>
          <xdr:spPr>
            <a:xfrm>
              <a:off x="6655710" y="3174571"/>
              <a:ext cx="647384" cy="553282"/>
            </a:xfrm>
            <a:prstGeom prst="roundRect">
              <a:avLst/>
            </a:prstGeom>
            <a:gradFill>
              <a:gsLst>
                <a:gs pos="100000">
                  <a:schemeClr val="accent6">
                    <a:lumMod val="40000"/>
                    <a:lumOff val="60000"/>
                  </a:schemeClr>
                </a:gs>
                <a:gs pos="0">
                  <a:schemeClr val="accent6">
                    <a:lumMod val="75000"/>
                  </a:schemeClr>
                </a:gs>
              </a:gsLst>
              <a:lin ang="27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8AD80EB5-A5C7-4A27-B6CF-C9B5811A2CE8}" type="TxLink">
                <a:rPr lang="en-US" sz="1400" b="0" i="0" u="none" strike="noStrike">
                  <a:solidFill>
                    <a:srgbClr val="000000"/>
                  </a:solidFill>
                  <a:latin typeface="Abadi" panose="020B0604020104020204" pitchFamily="34" charset="0"/>
                  <a:cs typeface="Calibri"/>
                </a:rPr>
                <a:pPr algn="ctr"/>
                <a:t>84%</a:t>
              </a:fld>
              <a:endParaRPr lang="en-US" sz="1400">
                <a:latin typeface="Abadi" panose="020B0604020104020204" pitchFamily="34" charset="0"/>
              </a:endParaRPr>
            </a:p>
          </xdr:txBody>
        </xdr:sp>
        <xdr:sp macro="" textlink="">
          <xdr:nvSpPr>
            <xdr:cNvPr id="29" name="TextBox 28">
              <a:extLst>
                <a:ext uri="{FF2B5EF4-FFF2-40B4-BE49-F238E27FC236}">
                  <a16:creationId xmlns:a16="http://schemas.microsoft.com/office/drawing/2014/main" id="{00000000-0008-0000-0300-00001D000000}"/>
                </a:ext>
              </a:extLst>
            </xdr:cNvPr>
            <xdr:cNvSpPr txBox="1"/>
          </xdr:nvSpPr>
          <xdr:spPr>
            <a:xfrm>
              <a:off x="6037650" y="4374734"/>
              <a:ext cx="518570" cy="5341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500">
                  <a:latin typeface="Abadi" panose="020B0604020104020204" pitchFamily="34" charset="0"/>
                </a:rPr>
                <a:t>Fail</a:t>
              </a:r>
            </a:p>
          </xdr:txBody>
        </xdr:sp>
        <xdr:sp macro="" textlink="'Data Preparation'!K7">
          <xdr:nvSpPr>
            <xdr:cNvPr id="36" name="Rectangle: Rounded Corners 35">
              <a:extLst>
                <a:ext uri="{FF2B5EF4-FFF2-40B4-BE49-F238E27FC236}">
                  <a16:creationId xmlns:a16="http://schemas.microsoft.com/office/drawing/2014/main" id="{00000000-0008-0000-0300-000024000000}"/>
                </a:ext>
              </a:extLst>
            </xdr:cNvPr>
            <xdr:cNvSpPr/>
          </xdr:nvSpPr>
          <xdr:spPr>
            <a:xfrm>
              <a:off x="6655709" y="4365158"/>
              <a:ext cx="648000" cy="553282"/>
            </a:xfrm>
            <a:prstGeom prst="roundRect">
              <a:avLst/>
            </a:prstGeom>
            <a:gradFill>
              <a:gsLst>
                <a:gs pos="100000">
                  <a:schemeClr val="bg1"/>
                </a:gs>
                <a:gs pos="0">
                  <a:srgbClr val="FC3C3C"/>
                </a:gs>
              </a:gsLst>
              <a:lin ang="27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3A7BA256-176D-423D-AE02-668963E31889}" type="TxLink">
                <a:rPr lang="en-US" sz="1400" b="0" i="0" u="none" strike="noStrike">
                  <a:solidFill>
                    <a:srgbClr val="000000"/>
                  </a:solidFill>
                  <a:latin typeface="Abadi" panose="020B0604020104020204" pitchFamily="34" charset="0"/>
                  <a:ea typeface="+mn-ea"/>
                  <a:cs typeface="Calibri"/>
                </a:rPr>
                <a:pPr marL="0" indent="0" algn="ctr"/>
                <a:t>16%</a:t>
              </a:fld>
              <a:endParaRPr lang="en-US" sz="1400" b="0" i="0" u="none" strike="noStrike">
                <a:solidFill>
                  <a:srgbClr val="000000"/>
                </a:solidFill>
                <a:latin typeface="Abadi" panose="020B0604020104020204" pitchFamily="34" charset="0"/>
                <a:ea typeface="+mn-ea"/>
                <a:cs typeface="Calibri"/>
              </a:endParaRPr>
            </a:p>
          </xdr:txBody>
        </xdr:sp>
      </xdr:grpSp>
      <xdr:graphicFrame macro="">
        <xdr:nvGraphicFramePr>
          <xdr:cNvPr id="92" name="Chart 91">
            <a:extLst>
              <a:ext uri="{FF2B5EF4-FFF2-40B4-BE49-F238E27FC236}">
                <a16:creationId xmlns:a16="http://schemas.microsoft.com/office/drawing/2014/main" id="{00000000-0008-0000-0300-00005C000000}"/>
              </a:ext>
            </a:extLst>
          </xdr:cNvPr>
          <xdr:cNvGraphicFramePr>
            <a:graphicFrameLocks/>
          </xdr:cNvGraphicFramePr>
        </xdr:nvGraphicFramePr>
        <xdr:xfrm>
          <a:off x="3932454" y="2707820"/>
          <a:ext cx="2453368" cy="2653394"/>
        </xdr:xfrm>
        <a:graphic>
          <a:graphicData uri="http://schemas.openxmlformats.org/drawingml/2006/chart">
            <c:chart xmlns:c="http://schemas.openxmlformats.org/drawingml/2006/chart" xmlns:r="http://schemas.openxmlformats.org/officeDocument/2006/relationships" r:id="rId10"/>
          </a:graphicData>
        </a:graphic>
      </xdr:graphicFrame>
      <xdr:grpSp>
        <xdr:nvGrpSpPr>
          <xdr:cNvPr id="93" name="Group 92">
            <a:extLst>
              <a:ext uri="{FF2B5EF4-FFF2-40B4-BE49-F238E27FC236}">
                <a16:creationId xmlns:a16="http://schemas.microsoft.com/office/drawing/2014/main" id="{00000000-0008-0000-0300-00005D000000}"/>
              </a:ext>
            </a:extLst>
          </xdr:cNvPr>
          <xdr:cNvGrpSpPr/>
        </xdr:nvGrpSpPr>
        <xdr:grpSpPr>
          <a:xfrm>
            <a:off x="5084421" y="2512205"/>
            <a:ext cx="1247548" cy="279221"/>
            <a:chOff x="949630" y="2271362"/>
            <a:chExt cx="1247548" cy="279221"/>
          </a:xfrm>
        </xdr:grpSpPr>
        <xdr:sp macro="" textlink="'Data Preparation'!T1">
          <xdr:nvSpPr>
            <xdr:cNvPr id="94" name="Rectangle: Rounded Corners 93">
              <a:extLst>
                <a:ext uri="{FF2B5EF4-FFF2-40B4-BE49-F238E27FC236}">
                  <a16:creationId xmlns:a16="http://schemas.microsoft.com/office/drawing/2014/main" id="{00000000-0008-0000-0300-00005E000000}"/>
                </a:ext>
              </a:extLst>
            </xdr:cNvPr>
            <xdr:cNvSpPr/>
          </xdr:nvSpPr>
          <xdr:spPr>
            <a:xfrm>
              <a:off x="1525999" y="2271362"/>
              <a:ext cx="671179" cy="279221"/>
            </a:xfrm>
            <a:prstGeom prst="roundRect">
              <a:avLst/>
            </a:prstGeom>
            <a:gradFill>
              <a:gsLst>
                <a:gs pos="100000">
                  <a:schemeClr val="accent5">
                    <a:lumMod val="20000"/>
                    <a:lumOff val="80000"/>
                  </a:schemeClr>
                </a:gs>
                <a:gs pos="0">
                  <a:schemeClr val="accent5">
                    <a:lumMod val="60000"/>
                    <a:lumOff val="40000"/>
                  </a:schemeClr>
                </a:gs>
              </a:gsLst>
              <a:lin ang="27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E2D5079A-D598-4502-A3D5-F0D628B4A410}" type="TxLink">
                <a:rPr lang="en-US" sz="1200" b="0" i="0" u="none" strike="noStrike">
                  <a:solidFill>
                    <a:srgbClr val="000000"/>
                  </a:solidFill>
                  <a:latin typeface="Abadi" panose="020B0604020104020204" pitchFamily="34" charset="0"/>
                  <a:ea typeface="+mn-ea"/>
                  <a:cs typeface="Calibri"/>
                </a:rPr>
                <a:pPr marL="0" indent="0" algn="ctr"/>
                <a:t>85%</a:t>
              </a:fld>
              <a:endParaRPr lang="en-US" sz="1400" b="0" i="0" u="none" strike="noStrike">
                <a:solidFill>
                  <a:srgbClr val="000000"/>
                </a:solidFill>
                <a:latin typeface="Abadi" panose="020B0604020104020204" pitchFamily="34" charset="0"/>
                <a:ea typeface="+mn-ea"/>
                <a:cs typeface="Calibri"/>
              </a:endParaRPr>
            </a:p>
          </xdr:txBody>
        </xdr:sp>
        <xdr:sp macro="" textlink="">
          <xdr:nvSpPr>
            <xdr:cNvPr id="95" name="TextBox 94">
              <a:extLst>
                <a:ext uri="{FF2B5EF4-FFF2-40B4-BE49-F238E27FC236}">
                  <a16:creationId xmlns:a16="http://schemas.microsoft.com/office/drawing/2014/main" id="{00000000-0008-0000-0300-00005F000000}"/>
                </a:ext>
              </a:extLst>
            </xdr:cNvPr>
            <xdr:cNvSpPr txBox="1"/>
          </xdr:nvSpPr>
          <xdr:spPr>
            <a:xfrm>
              <a:off x="949630" y="2276150"/>
              <a:ext cx="719513" cy="2696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200">
                  <a:latin typeface="Abadi" panose="020B0604020104020204" pitchFamily="34" charset="0"/>
                </a:rPr>
                <a:t>Target</a:t>
              </a: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editAs="absolute">
    <xdr:from>
      <xdr:col>7</xdr:col>
      <xdr:colOff>200025</xdr:colOff>
      <xdr:row>9</xdr:row>
      <xdr:rowOff>9526</xdr:rowOff>
    </xdr:from>
    <xdr:to>
      <xdr:col>8</xdr:col>
      <xdr:colOff>600075</xdr:colOff>
      <xdr:row>13</xdr:row>
      <xdr:rowOff>180976</xdr:rowOff>
    </xdr:to>
    <mc:AlternateContent xmlns:mc="http://schemas.openxmlformats.org/markup-compatibility/2006" xmlns:a14="http://schemas.microsoft.com/office/drawing/2010/main">
      <mc:Choice Requires="a14">
        <xdr:graphicFrame macro="">
          <xdr:nvGraphicFramePr>
            <xdr:cNvPr id="2" name="Region 2">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microsoft.com/office/drawing/2010/slicer">
              <sle:slicer xmlns:sle="http://schemas.microsoft.com/office/drawing/2010/slicer" name="Region 2"/>
            </a:graphicData>
          </a:graphic>
        </xdr:graphicFrame>
      </mc:Choice>
      <mc:Fallback xmlns="">
        <xdr:sp macro="" textlink="">
          <xdr:nvSpPr>
            <xdr:cNvPr id="0" name=""/>
            <xdr:cNvSpPr>
              <a:spLocks noTextEdit="1"/>
            </xdr:cNvSpPr>
          </xdr:nvSpPr>
          <xdr:spPr>
            <a:xfrm>
              <a:off x="9172575" y="771526"/>
              <a:ext cx="1828800" cy="9334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5</xdr:col>
      <xdr:colOff>933450</xdr:colOff>
      <xdr:row>16</xdr:row>
      <xdr:rowOff>114301</xdr:rowOff>
    </xdr:from>
    <xdr:to>
      <xdr:col>7</xdr:col>
      <xdr:colOff>95250</xdr:colOff>
      <xdr:row>21</xdr:row>
      <xdr:rowOff>76201</xdr:rowOff>
    </xdr:to>
    <mc:AlternateContent xmlns:mc="http://schemas.openxmlformats.org/markup-compatibility/2006" xmlns:a14="http://schemas.microsoft.com/office/drawing/2010/main">
      <mc:Choice Requires="a14">
        <xdr:graphicFrame macro="">
          <xdr:nvGraphicFramePr>
            <xdr:cNvPr id="3" name="Week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Week 2"/>
            </a:graphicData>
          </a:graphic>
        </xdr:graphicFrame>
      </mc:Choice>
      <mc:Fallback xmlns="">
        <xdr:sp macro="" textlink="">
          <xdr:nvSpPr>
            <xdr:cNvPr id="0" name=""/>
            <xdr:cNvSpPr>
              <a:spLocks noTextEdit="1"/>
            </xdr:cNvSpPr>
          </xdr:nvSpPr>
          <xdr:spPr>
            <a:xfrm>
              <a:off x="7239000" y="2209801"/>
              <a:ext cx="1828800" cy="914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5</xdr:col>
      <xdr:colOff>933450</xdr:colOff>
      <xdr:row>11</xdr:row>
      <xdr:rowOff>152400</xdr:rowOff>
    </xdr:from>
    <xdr:to>
      <xdr:col>7</xdr:col>
      <xdr:colOff>95250</xdr:colOff>
      <xdr:row>16</xdr:row>
      <xdr:rowOff>28575</xdr:rowOff>
    </xdr:to>
    <mc:AlternateContent xmlns:mc="http://schemas.openxmlformats.org/markup-compatibility/2006" xmlns:a14="http://schemas.microsoft.com/office/drawing/2010/main">
      <mc:Choice Requires="a14">
        <xdr:graphicFrame macro="">
          <xdr:nvGraphicFramePr>
            <xdr:cNvPr id="4" name="Month 1">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7239000" y="1295400"/>
              <a:ext cx="1828800" cy="8286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7</xdr:col>
      <xdr:colOff>200025</xdr:colOff>
      <xdr:row>14</xdr:row>
      <xdr:rowOff>114300</xdr:rowOff>
    </xdr:from>
    <xdr:to>
      <xdr:col>8</xdr:col>
      <xdr:colOff>600075</xdr:colOff>
      <xdr:row>24</xdr:row>
      <xdr:rowOff>152400</xdr:rowOff>
    </xdr:to>
    <mc:AlternateContent xmlns:mc="http://schemas.openxmlformats.org/markup-compatibility/2006" xmlns:a14="http://schemas.microsoft.com/office/drawing/2010/main">
      <mc:Choice Requires="a14">
        <xdr:graphicFrame macro="">
          <xdr:nvGraphicFramePr>
            <xdr:cNvPr id="5" name="Product Pillar 1">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microsoft.com/office/drawing/2010/slicer">
              <sle:slicer xmlns:sle="http://schemas.microsoft.com/office/drawing/2010/slicer" name="Product Pillar 1"/>
            </a:graphicData>
          </a:graphic>
        </xdr:graphicFrame>
      </mc:Choice>
      <mc:Fallback xmlns="">
        <xdr:sp macro="" textlink="">
          <xdr:nvSpPr>
            <xdr:cNvPr id="0" name=""/>
            <xdr:cNvSpPr>
              <a:spLocks noTextEdit="1"/>
            </xdr:cNvSpPr>
          </xdr:nvSpPr>
          <xdr:spPr>
            <a:xfrm>
              <a:off x="9172575" y="1828800"/>
              <a:ext cx="1828800" cy="1943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absolute">
    <xdr:from>
      <xdr:col>7</xdr:col>
      <xdr:colOff>771525</xdr:colOff>
      <xdr:row>9</xdr:row>
      <xdr:rowOff>9526</xdr:rowOff>
    </xdr:from>
    <xdr:to>
      <xdr:col>9</xdr:col>
      <xdr:colOff>561975</xdr:colOff>
      <xdr:row>13</xdr:row>
      <xdr:rowOff>180976</xdr:rowOff>
    </xdr:to>
    <mc:AlternateContent xmlns:mc="http://schemas.openxmlformats.org/markup-compatibility/2006" xmlns:a14="http://schemas.microsoft.com/office/drawing/2010/main">
      <mc:Choice Requires="a14">
        <xdr:graphicFrame macro="">
          <xdr:nvGraphicFramePr>
            <xdr:cNvPr id="2" name="Region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9782175" y="771526"/>
              <a:ext cx="1828800" cy="9334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6</xdr:col>
      <xdr:colOff>266700</xdr:colOff>
      <xdr:row>16</xdr:row>
      <xdr:rowOff>114301</xdr:rowOff>
    </xdr:from>
    <xdr:to>
      <xdr:col>7</xdr:col>
      <xdr:colOff>666750</xdr:colOff>
      <xdr:row>21</xdr:row>
      <xdr:rowOff>76201</xdr:rowOff>
    </xdr:to>
    <mc:AlternateContent xmlns:mc="http://schemas.openxmlformats.org/markup-compatibility/2006" xmlns:a14="http://schemas.microsoft.com/office/drawing/2010/main">
      <mc:Choice Requires="a14">
        <xdr:graphicFrame macro="">
          <xdr:nvGraphicFramePr>
            <xdr:cNvPr id="3" name="Week 1">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Week 1"/>
            </a:graphicData>
          </a:graphic>
        </xdr:graphicFrame>
      </mc:Choice>
      <mc:Fallback xmlns="">
        <xdr:sp macro="" textlink="">
          <xdr:nvSpPr>
            <xdr:cNvPr id="0" name=""/>
            <xdr:cNvSpPr>
              <a:spLocks noTextEdit="1"/>
            </xdr:cNvSpPr>
          </xdr:nvSpPr>
          <xdr:spPr>
            <a:xfrm>
              <a:off x="7848600" y="2209801"/>
              <a:ext cx="1828800" cy="914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6</xdr:col>
      <xdr:colOff>266700</xdr:colOff>
      <xdr:row>11</xdr:row>
      <xdr:rowOff>152400</xdr:rowOff>
    </xdr:from>
    <xdr:to>
      <xdr:col>7</xdr:col>
      <xdr:colOff>666750</xdr:colOff>
      <xdr:row>16</xdr:row>
      <xdr:rowOff>28575</xdr:rowOff>
    </xdr:to>
    <mc:AlternateContent xmlns:mc="http://schemas.openxmlformats.org/markup-compatibility/2006" xmlns:a14="http://schemas.microsoft.com/office/drawing/2010/main">
      <mc:Choice Requires="a14">
        <xdr:graphicFrame macro="">
          <xdr:nvGraphicFramePr>
            <xdr:cNvPr id="4" name="Month">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7848600" y="1295400"/>
              <a:ext cx="1828800" cy="8286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7</xdr:col>
      <xdr:colOff>771525</xdr:colOff>
      <xdr:row>14</xdr:row>
      <xdr:rowOff>114300</xdr:rowOff>
    </xdr:from>
    <xdr:to>
      <xdr:col>9</xdr:col>
      <xdr:colOff>561975</xdr:colOff>
      <xdr:row>24</xdr:row>
      <xdr:rowOff>152400</xdr:rowOff>
    </xdr:to>
    <mc:AlternateContent xmlns:mc="http://schemas.openxmlformats.org/markup-compatibility/2006" xmlns:a14="http://schemas.microsoft.com/office/drawing/2010/main">
      <mc:Choice Requires="a14">
        <xdr:graphicFrame macro="">
          <xdr:nvGraphicFramePr>
            <xdr:cNvPr id="5" name="Product Pillar">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microsoft.com/office/drawing/2010/slicer">
              <sle:slicer xmlns:sle="http://schemas.microsoft.com/office/drawing/2010/slicer" name="Product Pillar"/>
            </a:graphicData>
          </a:graphic>
        </xdr:graphicFrame>
      </mc:Choice>
      <mc:Fallback xmlns="">
        <xdr:sp macro="" textlink="">
          <xdr:nvSpPr>
            <xdr:cNvPr id="0" name=""/>
            <xdr:cNvSpPr>
              <a:spLocks noTextEdit="1"/>
            </xdr:cNvSpPr>
          </xdr:nvSpPr>
          <xdr:spPr>
            <a:xfrm>
              <a:off x="9782175" y="1828800"/>
              <a:ext cx="1828800" cy="1943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absolute">
    <xdr:from>
      <xdr:col>4</xdr:col>
      <xdr:colOff>314325</xdr:colOff>
      <xdr:row>18</xdr:row>
      <xdr:rowOff>176212</xdr:rowOff>
    </xdr:from>
    <xdr:to>
      <xdr:col>7</xdr:col>
      <xdr:colOff>314325</xdr:colOff>
      <xdr:row>27</xdr:row>
      <xdr:rowOff>80961</xdr:rowOff>
    </xdr:to>
    <mc:AlternateContent xmlns:mc="http://schemas.openxmlformats.org/markup-compatibility/2006" xmlns:a14="http://schemas.microsoft.com/office/drawing/2010/main">
      <mc:Choice Requires="a14">
        <xdr:graphicFrame macro="">
          <xdr:nvGraphicFramePr>
            <xdr:cNvPr id="3" name="Week">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Week"/>
            </a:graphicData>
          </a:graphic>
        </xdr:graphicFrame>
      </mc:Choice>
      <mc:Fallback xmlns="">
        <xdr:sp macro="" textlink="">
          <xdr:nvSpPr>
            <xdr:cNvPr id="0" name=""/>
            <xdr:cNvSpPr>
              <a:spLocks noTextEdit="1"/>
            </xdr:cNvSpPr>
          </xdr:nvSpPr>
          <xdr:spPr>
            <a:xfrm>
              <a:off x="4289425" y="3438525"/>
              <a:ext cx="1828800" cy="16192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7</xdr:col>
      <xdr:colOff>457200</xdr:colOff>
      <xdr:row>18</xdr:row>
      <xdr:rowOff>176213</xdr:rowOff>
    </xdr:from>
    <xdr:to>
      <xdr:col>10</xdr:col>
      <xdr:colOff>457200</xdr:colOff>
      <xdr:row>27</xdr:row>
      <xdr:rowOff>80963</xdr:rowOff>
    </xdr:to>
    <mc:AlternateContent xmlns:mc="http://schemas.openxmlformats.org/markup-compatibility/2006" xmlns:a14="http://schemas.microsoft.com/office/drawing/2010/main">
      <mc:Choice Requires="a14">
        <xdr:graphicFrame macro="">
          <xdr:nvGraphicFramePr>
            <xdr:cNvPr id="4" name="Region">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6261100" y="3438526"/>
              <a:ext cx="1828800" cy="1619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1099704</xdr:colOff>
      <xdr:row>1</xdr:row>
      <xdr:rowOff>103909</xdr:rowOff>
    </xdr:from>
    <xdr:to>
      <xdr:col>8</xdr:col>
      <xdr:colOff>598343</xdr:colOff>
      <xdr:row>14</xdr:row>
      <xdr:rowOff>65809</xdr:rowOff>
    </xdr:to>
    <xdr:grpSp>
      <xdr:nvGrpSpPr>
        <xdr:cNvPr id="5" name="Group 4">
          <a:extLst>
            <a:ext uri="{FF2B5EF4-FFF2-40B4-BE49-F238E27FC236}">
              <a16:creationId xmlns:a16="http://schemas.microsoft.com/office/drawing/2014/main" id="{00000000-0008-0000-0600-000005000000}"/>
            </a:ext>
          </a:extLst>
        </xdr:cNvPr>
        <xdr:cNvGrpSpPr/>
      </xdr:nvGrpSpPr>
      <xdr:grpSpPr>
        <a:xfrm>
          <a:off x="1099704" y="294409"/>
          <a:ext cx="5897707" cy="2464377"/>
          <a:chOff x="1099704" y="294409"/>
          <a:chExt cx="5897707" cy="2464377"/>
        </a:xfrm>
      </xdr:grpSpPr>
      <xdr:sp macro="" textlink="">
        <xdr:nvSpPr>
          <xdr:cNvPr id="6" name="Rectangle: Rounded Corners 5">
            <a:extLst>
              <a:ext uri="{FF2B5EF4-FFF2-40B4-BE49-F238E27FC236}">
                <a16:creationId xmlns:a16="http://schemas.microsoft.com/office/drawing/2014/main" id="{00000000-0008-0000-0600-000006000000}"/>
              </a:ext>
            </a:extLst>
          </xdr:cNvPr>
          <xdr:cNvSpPr/>
        </xdr:nvSpPr>
        <xdr:spPr>
          <a:xfrm>
            <a:off x="1099704" y="294409"/>
            <a:ext cx="5897707" cy="2464377"/>
          </a:xfrm>
          <a:prstGeom prst="roundRect">
            <a:avLst/>
          </a:prstGeom>
          <a:solidFill>
            <a:schemeClr val="bg1"/>
          </a:solidFill>
          <a:ln>
            <a:noFill/>
          </a:ln>
          <a:effectLst>
            <a:outerShdw blurRad="127000" dist="38100" dir="2700000" algn="tl" rotWithShape="0">
              <a:schemeClr val="accent6">
                <a:lumMod val="75000"/>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8" name="Chart 7">
            <a:extLst>
              <a:ext uri="{FF2B5EF4-FFF2-40B4-BE49-F238E27FC236}">
                <a16:creationId xmlns:a16="http://schemas.microsoft.com/office/drawing/2014/main" id="{00000000-0008-0000-0600-000008000000}"/>
              </a:ext>
            </a:extLst>
          </xdr:cNvPr>
          <xdr:cNvGraphicFramePr>
            <a:graphicFrameLocks/>
          </xdr:cNvGraphicFramePr>
        </xdr:nvGraphicFramePr>
        <xdr:xfrm>
          <a:off x="1375097" y="471389"/>
          <a:ext cx="5346921" cy="2110418"/>
        </xdr:xfrm>
        <a:graphic>
          <a:graphicData uri="http://schemas.openxmlformats.org/drawingml/2006/chart">
            <c:chart xmlns:c="http://schemas.openxmlformats.org/drawingml/2006/chart" xmlns:r="http://schemas.openxmlformats.org/officeDocument/2006/relationships" r:id="rId1"/>
          </a:graphicData>
        </a:graphic>
      </xdr:graphicFrame>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0</xdr:colOff>
      <xdr:row>7</xdr:row>
      <xdr:rowOff>0</xdr:rowOff>
    </xdr:from>
    <xdr:to>
      <xdr:col>4</xdr:col>
      <xdr:colOff>304800</xdr:colOff>
      <xdr:row>8</xdr:row>
      <xdr:rowOff>114300</xdr:rowOff>
    </xdr:to>
    <xdr:sp macro="" textlink="">
      <xdr:nvSpPr>
        <xdr:cNvPr id="10241" name="AutoShape 1">
          <a:extLst>
            <a:ext uri="{FF2B5EF4-FFF2-40B4-BE49-F238E27FC236}">
              <a16:creationId xmlns:a16="http://schemas.microsoft.com/office/drawing/2014/main" id="{00000000-0008-0000-0700-000001280000}"/>
            </a:ext>
          </a:extLst>
        </xdr:cNvPr>
        <xdr:cNvSpPr>
          <a:spLocks noChangeAspect="1" noChangeArrowheads="1"/>
        </xdr:cNvSpPr>
      </xdr:nvSpPr>
      <xdr:spPr bwMode="auto">
        <a:xfrm>
          <a:off x="3571875" y="1333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7</xdr:row>
      <xdr:rowOff>0</xdr:rowOff>
    </xdr:from>
    <xdr:to>
      <xdr:col>4</xdr:col>
      <xdr:colOff>304800</xdr:colOff>
      <xdr:row>8</xdr:row>
      <xdr:rowOff>114300</xdr:rowOff>
    </xdr:to>
    <xdr:sp macro="" textlink="">
      <xdr:nvSpPr>
        <xdr:cNvPr id="10242" name="AutoShape 2">
          <a:extLst>
            <a:ext uri="{FF2B5EF4-FFF2-40B4-BE49-F238E27FC236}">
              <a16:creationId xmlns:a16="http://schemas.microsoft.com/office/drawing/2014/main" id="{00000000-0008-0000-0700-000002280000}"/>
            </a:ext>
          </a:extLst>
        </xdr:cNvPr>
        <xdr:cNvSpPr>
          <a:spLocks noChangeAspect="1" noChangeArrowheads="1"/>
        </xdr:cNvSpPr>
      </xdr:nvSpPr>
      <xdr:spPr bwMode="auto">
        <a:xfrm>
          <a:off x="3571875" y="1333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oneCellAnchor>
    <xdr:from>
      <xdr:col>11</xdr:col>
      <xdr:colOff>0</xdr:colOff>
      <xdr:row>4</xdr:row>
      <xdr:rowOff>0</xdr:rowOff>
    </xdr:from>
    <xdr:ext cx="184731" cy="264560"/>
    <xdr:sp macro="" textlink="">
      <xdr:nvSpPr>
        <xdr:cNvPr id="4" name="TextBox 3">
          <a:extLst>
            <a:ext uri="{FF2B5EF4-FFF2-40B4-BE49-F238E27FC236}">
              <a16:creationId xmlns:a16="http://schemas.microsoft.com/office/drawing/2014/main" id="{00000000-0008-0000-0800-000004000000}"/>
            </a:ext>
          </a:extLst>
        </xdr:cNvPr>
        <xdr:cNvSpPr txBox="1"/>
      </xdr:nvSpPr>
      <xdr:spPr>
        <a:xfrm>
          <a:off x="7200900" y="7620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persons/person.xml><?xml version="1.0" encoding="utf-8"?>
<personList xmlns="http://schemas.microsoft.com/office/spreadsheetml/2018/threadedcomments" xmlns:x="http://schemas.openxmlformats.org/spreadsheetml/2006/main">
  <person displayName="Andrew Reda Soliman" id="{92EE2052-2BFD-48C5-A932-7F5220E74F6D}" userId="S::ASoliman14@slb.com::695661d5-ceab-41a9-ac59-da1e6ee340f1"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drew Reda Soliman" refreshedDate="44898.086293865737" createdVersion="7" refreshedVersion="7" minRefreshableVersion="3" recordCount="167" xr:uid="{237AF0C4-B576-4349-A980-EA58E3DC5BD4}">
  <cacheSource type="worksheet">
    <worksheetSource name="Data_Table"/>
  </cacheSource>
  <cacheFields count="44">
    <cacheField name="Date of the Ticket for Review" numFmtId="164">
      <sharedItems containsSemiMixedTypes="0" containsNonDate="0" containsDate="1" containsString="0" minDate="2022-04-01T00:00:00" maxDate="2022-11-26T00:00:00"/>
    </cacheField>
    <cacheField name="Region" numFmtId="0">
      <sharedItems containsBlank="1" count="5">
        <s v="EUI"/>
        <s v="METAP"/>
        <s v="NA "/>
        <s v="APAC"/>
        <m u="1"/>
      </sharedItems>
    </cacheField>
    <cacheField name="Week" numFmtId="0">
      <sharedItems containsSemiMixedTypes="0" containsString="0" containsNumber="1" containsInteger="1" minValue="0" maxValue="49" count="13">
        <n v="44"/>
        <n v="48"/>
        <n v="45"/>
        <n v="46"/>
        <n v="36"/>
        <n v="32"/>
        <n v="27"/>
        <n v="23"/>
        <n v="19"/>
        <n v="14"/>
        <n v="0" u="1"/>
        <n v="2" u="1"/>
        <n v="49" u="1"/>
      </sharedItems>
    </cacheField>
    <cacheField name="Last 3 Weeks" numFmtId="0">
      <sharedItems containsSemiMixedTypes="0" containsString="0" containsNumber="1" containsInteger="1" minValue="1" maxValue="11" count="11">
        <n v="4"/>
        <n v="1"/>
        <n v="3"/>
        <n v="2"/>
        <n v="5"/>
        <n v="6"/>
        <n v="7"/>
        <n v="8"/>
        <n v="9"/>
        <n v="10"/>
        <n v="11" u="1"/>
      </sharedItems>
    </cacheField>
    <cacheField name="Month" numFmtId="0">
      <sharedItems count="12">
        <s v="Oct"/>
        <s v="Nov"/>
        <s v="Sep"/>
        <s v="Aug"/>
        <s v="Jul"/>
        <s v="Jun"/>
        <s v="May"/>
        <s v="Apr"/>
        <s v="October" u="1"/>
        <s v="November" u="1"/>
        <s v="January" u="1"/>
        <s v="Dec" u="1"/>
      </sharedItems>
    </cacheField>
    <cacheField name="Ticket ID" numFmtId="0">
      <sharedItems containsString="0" containsBlank="1" containsNumber="1" containsInteger="1" minValue="862972" maxValue="891272" count="162">
        <n v="863177"/>
        <n v="863354"/>
        <n v="870776"/>
        <n v="870147"/>
        <n v="864315"/>
        <n v="863243"/>
        <n v="864581"/>
        <n v="863071"/>
        <n v="865188"/>
        <n v="863743"/>
        <n v="869668"/>
        <n v="865460"/>
        <n v="871270"/>
        <n v="863532"/>
        <n v="865296"/>
        <n v="863621"/>
        <n v="871305"/>
        <n v="865520"/>
        <n v="867762"/>
        <n v="865176"/>
        <n v="869404"/>
        <n v="863819"/>
        <n v="865887"/>
        <n v="865474"/>
        <n v="865152"/>
        <n v="863883"/>
        <n v="871429"/>
        <n v="869288"/>
        <n v="867504"/>
        <n v="867446"/>
        <n v="867608"/>
        <n v="865783"/>
        <n v="865467"/>
        <n v="865485"/>
        <n v="863986"/>
        <n v="865670"/>
        <n v="863877"/>
        <n v="864228"/>
        <n v="863776"/>
        <n v="868772"/>
        <n v="868755"/>
        <n v="869744"/>
        <n v="864678"/>
        <n v="864322"/>
        <n v="863990"/>
        <n v="867026"/>
        <n v="863527"/>
        <n v="867367"/>
        <n v="862972"/>
        <n v="866790"/>
        <n v="865371"/>
        <n v="864843"/>
        <n v="863394"/>
        <n v="865031"/>
        <n v="863088"/>
        <n v="881383"/>
        <n v="874796"/>
        <n v="879871"/>
        <n v="874936"/>
        <n v="874789"/>
        <n v="882583"/>
        <n v="874600"/>
        <n v="874632"/>
        <n v="878394"/>
        <n v="878607"/>
        <n v="873957"/>
        <n v="878541"/>
        <n v="879538"/>
        <n v="878233"/>
        <n v="878366"/>
        <n v="876699"/>
        <n v="876738"/>
        <n v="874811"/>
        <n v="880027"/>
        <n v="879979"/>
        <n v="874646"/>
        <n v="874949"/>
        <n v="881211"/>
        <n v="878294"/>
        <n v="878876"/>
        <n v="875087"/>
        <n v="878349"/>
        <n v="879936"/>
        <n v="874769"/>
        <n v="877812"/>
        <n v="874255"/>
        <n v="877496"/>
        <n v="875823"/>
        <n v="881059"/>
        <n v="875979"/>
        <n v="880418"/>
        <n v="877422"/>
        <n v="880322"/>
        <n v="880675"/>
        <n v="880632"/>
        <n v="875479"/>
        <n v="873557"/>
        <n v="881297"/>
        <n v="879803"/>
        <n v="874488"/>
        <n v="876284"/>
        <n v="877907"/>
        <n v="874656"/>
        <n v="879781"/>
        <n v="876405"/>
        <n v="876430"/>
        <n v="876216"/>
        <n v="874321"/>
        <n v="880983"/>
        <n v="884647"/>
        <n v="884695"/>
        <n v="888026"/>
        <n v="886509"/>
        <n v="886799"/>
        <n v="886730"/>
        <n v="886376"/>
        <n v="886390"/>
        <n v="886738"/>
        <n v="886817"/>
        <n v="886397"/>
        <n v="884439"/>
        <n v="888519"/>
        <n v="889541"/>
        <n v="887807"/>
        <n v="886117"/>
        <n v="884645"/>
        <n v="885662"/>
        <n v="888407"/>
        <n v="889872"/>
        <n v="884997"/>
        <n v="891057"/>
        <n v="889717"/>
        <n v="889642"/>
        <n v="885632"/>
        <n v="884798"/>
        <n v="886455"/>
        <n v="891272"/>
        <n v="887633"/>
        <n v="883821"/>
        <n v="886106"/>
        <n v="884002"/>
        <n v="883686"/>
        <n v="890887"/>
        <n v="888822"/>
        <n v="885199"/>
        <n v="888199"/>
        <n v="886905"/>
        <n v="887288"/>
        <n v="885381"/>
        <n v="890373"/>
        <n v="883568"/>
        <n v="885731"/>
        <n v="884043"/>
        <n v="889171"/>
        <n v="889746"/>
        <n v="889360"/>
        <n v="884615"/>
        <n v="884235"/>
        <n v="884348"/>
        <n v="889257"/>
        <n v="885770"/>
        <m/>
      </sharedItems>
    </cacheField>
    <cacheField name="Agent Name" numFmtId="0">
      <sharedItems containsBlank="1" count="29">
        <s v="Agnes Tang"/>
        <s v="Rupesh Vaswani"/>
        <s v="Islam Ghiboub"/>
        <s v="Aldrin Sneha Priyanka"/>
        <s v="Sithu Hein"/>
        <s v="Rafael Cardoso"/>
        <s v="Leandro Morais"/>
        <s v="Elijah Cummings"/>
        <s v="Bonnie Williams"/>
        <s v="Deniece Inda"/>
        <s v="Samantha Rodriguez"/>
        <s v="Carolina Gonzalez"/>
        <s v="Eduardo Villa"/>
        <s v="Jessica Hernandez"/>
        <s v="Brianna Arrighi"/>
        <s v="Nadia Ahmed"/>
        <e v="#N/A"/>
        <s v="Ray Jones"/>
        <s v="Grant Gundersen"/>
        <s v="Angelina Voon Suk Yung"/>
        <s v="Tran Thi Thao Trinh (Liz)"/>
        <s v="Nuraini Hassan"/>
        <s v="Jiao Ni (Annie)_x000a_"/>
        <s v="Prakash Reddy"/>
        <s v="Syed Muhammad Fahad Ismail"/>
        <s v="Emmanuel Ehiman"/>
        <s v="Tomasz Bulawa"/>
        <s v="Oka Anazodo"/>
        <m/>
      </sharedItems>
    </cacheField>
    <cacheField name="Product Pillar" numFmtId="0">
      <sharedItems containsBlank="1" count="6">
        <s v=""/>
        <s v="Measurement"/>
        <s v="Platforms &amp; API"/>
        <s v="Performance &amp; Delivery"/>
        <s v="Native Branding Ads"/>
        <m/>
      </sharedItems>
    </cacheField>
    <cacheField name="Ticket Type " numFmtId="0">
      <sharedItems containsBlank="1"/>
    </cacheField>
    <cacheField name="Grammar &amp; Syntax " numFmtId="0">
      <sharedItems containsString="0" containsBlank="1" containsNumber="1" containsInteger="1" minValue="3" maxValue="3"/>
    </cacheField>
    <cacheField name="Appropriate communication starter" numFmtId="0">
      <sharedItems containsString="0" containsBlank="1" containsNumber="1" containsInteger="1" minValue="3" maxValue="3"/>
    </cacheField>
    <cacheField name="Customer Empathy" numFmtId="0">
      <sharedItems containsString="0" containsBlank="1" containsNumber="1" containsInteger="1" minValue="3" maxValue="3"/>
    </cacheField>
    <cacheField name="Positive Tone" numFmtId="0">
      <sharedItems containsString="0" containsBlank="1" containsNumber="1" containsInteger="1" minValue="1" maxValue="3"/>
    </cacheField>
    <cacheField name="Understand the Issue" numFmtId="0">
      <sharedItems containsString="0" containsBlank="1" containsNumber="1" containsInteger="1" minValue="3" maxValue="3"/>
    </cacheField>
    <cacheField name="Accountability &amp; Ownership" numFmtId="0">
      <sharedItems containsBlank="1" containsMixedTypes="1" containsNumber="1" containsInteger="1" minValue="1" maxValue="3"/>
    </cacheField>
    <cacheField name="First Response Timeline" numFmtId="0">
      <sharedItems containsString="0" containsBlank="1" containsNumber="1" containsInteger="1" minValue="3" maxValue="3"/>
    </cacheField>
    <cacheField name="Quality of First Response" numFmtId="0">
      <sharedItems containsString="0" containsBlank="1" containsNumber="1" containsInteger="1" minValue="3" maxValue="3"/>
    </cacheField>
    <cacheField name="Qualitative Feedback (QA)" numFmtId="0">
      <sharedItems containsBlank="1" longText="1"/>
    </cacheField>
    <cacheField name="Compliance Critical" numFmtId="0">
      <sharedItems/>
    </cacheField>
    <cacheField name="Compliance Critical PF" numFmtId="0">
      <sharedItems count="2">
        <s v="Pass"/>
        <s v="Fail"/>
      </sharedItems>
    </cacheField>
    <cacheField name="Compliance Critical F" numFmtId="0">
      <sharedItems containsSemiMixedTypes="0" containsString="0" containsNumber="1" containsInteger="1" minValue="0" maxValue="1"/>
    </cacheField>
    <cacheField name="Failed Attribute Compliance" numFmtId="0">
      <sharedItems containsNonDate="0" containsString="0" containsBlank="1"/>
    </cacheField>
    <cacheField name="Priority Level" numFmtId="0">
      <sharedItems containsBlank="1" containsMixedTypes="1" containsNumber="1" containsInteger="1" minValue="1" maxValue="3"/>
    </cacheField>
    <cacheField name="Ticket Type" numFmtId="0">
      <sharedItems containsBlank="1" containsMixedTypes="1" containsNumber="1" containsInteger="1" minValue="2" maxValue="3"/>
    </cacheField>
    <cacheField name="Product Information" numFmtId="0">
      <sharedItems containsBlank="1" containsMixedTypes="1" containsNumber="1" containsInteger="1" minValue="1" maxValue="3"/>
    </cacheField>
    <cacheField name="Effective Inquiry" numFmtId="0">
      <sharedItems containsBlank="1" containsMixedTypes="1" containsNumber="1" containsInteger="1" minValue="1" maxValue="3"/>
    </cacheField>
    <cacheField name="XFN Escalation process" numFmtId="0">
      <sharedItems containsBlank="1" containsMixedTypes="1" containsNumber="1" containsInteger="1" minValue="3" maxValue="3"/>
    </cacheField>
    <cacheField name="Solution Acceptability" numFmtId="0">
      <sharedItems containsBlank="1" containsMixedTypes="1" containsNumber="1" containsInteger="1" minValue="1" maxValue="3"/>
    </cacheField>
    <cacheField name="Ticket Closure" numFmtId="0">
      <sharedItems containsBlank="1" containsMixedTypes="1" containsNumber="1" containsInteger="1" minValue="2" maxValue="3"/>
    </cacheField>
    <cacheField name="Resolution time" numFmtId="0">
      <sharedItems containsBlank="1" containsMixedTypes="1" containsNumber="1" containsInteger="1" minValue="1" maxValue="3"/>
    </cacheField>
    <cacheField name="Effective escalation " numFmtId="0">
      <sharedItems containsBlank="1" containsMixedTypes="1" containsNumber="1" containsInteger="1" minValue="2" maxValue="3"/>
    </cacheField>
    <cacheField name="Qualitative Feedback (Leads)" numFmtId="0">
      <sharedItems containsBlank="1" longText="1"/>
    </cacheField>
    <cacheField name="Business Critical" numFmtId="0">
      <sharedItems/>
    </cacheField>
    <cacheField name="Business Critical PF" numFmtId="0">
      <sharedItems count="2">
        <s v="Pass"/>
        <s v="Fail"/>
      </sharedItems>
    </cacheField>
    <cacheField name="Business Critical F" numFmtId="0">
      <sharedItems containsMixedTypes="1" containsNumber="1" containsInteger="1" minValue="1" maxValue="1"/>
    </cacheField>
    <cacheField name="Attribute Fail Rate" numFmtId="0">
      <sharedItems count="3">
        <s v="Pass"/>
        <s v="Fail"/>
        <s v="Neutral"/>
      </sharedItems>
    </cacheField>
    <cacheField name="Attribute Fail Rate PF" numFmtId="0">
      <sharedItems count="2">
        <s v="Pass"/>
        <s v="Fail"/>
      </sharedItems>
    </cacheField>
    <cacheField name="Attribute Fail Rate F" numFmtId="0">
      <sharedItems containsMixedTypes="1" containsNumber="1" containsInteger="1" minValue="1" maxValue="1"/>
    </cacheField>
    <cacheField name="Count" numFmtId="0">
      <sharedItems containsSemiMixedTypes="0" containsString="0" containsNumber="1" containsInteger="1" minValue="1" maxValue="1"/>
    </cacheField>
    <cacheField name="Failed Ticket ID" numFmtId="0">
      <sharedItems containsMixedTypes="1" containsNumber="1" containsInteger="1" minValue="0" maxValue="887807" count="28">
        <s v=""/>
        <n v="870776"/>
        <n v="869668"/>
        <n v="863532"/>
        <n v="863621"/>
        <n v="865520"/>
        <n v="867762"/>
        <n v="865474"/>
        <n v="869744"/>
        <n v="864322"/>
        <n v="874632"/>
        <n v="878607"/>
        <n v="878541"/>
        <n v="878366"/>
        <n v="880027"/>
        <n v="879979"/>
        <n v="878294"/>
        <n v="881059"/>
        <n v="880322"/>
        <n v="886730"/>
        <n v="886390"/>
        <n v="886738"/>
        <n v="886397"/>
        <n v="887807"/>
        <n v="884235"/>
        <n v="884348"/>
        <n v="0"/>
        <n v="879803" u="1"/>
      </sharedItems>
    </cacheField>
    <cacheField name="Failed Attributes" numFmtId="0">
      <sharedItems/>
    </cacheField>
    <cacheField name="Overall F%" numFmtId="0" formula="'Attribute Fail Rate F'/Count" databaseField="0"/>
    <cacheField name="Business F%" numFmtId="0" formula="'Business Critical F'/Count" databaseField="0"/>
    <cacheField name="Compliance F%" numFmtId="0" formula="'Compliance Critical F'/Count" databaseField="0"/>
  </cacheFields>
  <extLst>
    <ext xmlns:x14="http://schemas.microsoft.com/office/spreadsheetml/2009/9/main" uri="{725AE2AE-9491-48be-B2B4-4EB974FC3084}">
      <x14:pivotCacheDefinition pivotCacheId="15679232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7">
  <r>
    <d v="2022-10-24T00:00:00"/>
    <x v="0"/>
    <x v="0"/>
    <x v="0"/>
    <x v="0"/>
    <x v="0"/>
    <x v="0"/>
    <x v="0"/>
    <s v="Resolved by Scaled TPS independently "/>
    <n v="3"/>
    <n v="3"/>
    <n v="3"/>
    <n v="3"/>
    <n v="3"/>
    <n v="3"/>
    <n v="3"/>
    <n v="3"/>
    <s v="N/A"/>
    <s v="Pass"/>
    <x v="0"/>
    <n v="0"/>
    <m/>
    <n v="3"/>
    <n v="3"/>
    <n v="3"/>
    <n v="3"/>
    <s v="NA"/>
    <n v="3"/>
    <n v="3"/>
    <n v="3"/>
    <s v="NA"/>
    <s v="NA"/>
    <s v="Pass"/>
    <x v="0"/>
    <s v=""/>
    <x v="0"/>
    <x v="0"/>
    <s v=""/>
    <n v="1"/>
    <x v="0"/>
    <s v=""/>
  </r>
  <r>
    <d v="2022-10-24T00:00:00"/>
    <x v="1"/>
    <x v="0"/>
    <x v="0"/>
    <x v="0"/>
    <x v="1"/>
    <x v="0"/>
    <x v="0"/>
    <s v="Resolved by Scaled TPS independently "/>
    <n v="3"/>
    <n v="3"/>
    <n v="3"/>
    <n v="3"/>
    <n v="3"/>
    <n v="3"/>
    <n v="3"/>
    <n v="3"/>
    <s v="N/A"/>
    <s v="Pass"/>
    <x v="0"/>
    <n v="0"/>
    <m/>
    <n v="3"/>
    <n v="3"/>
    <n v="3"/>
    <n v="3"/>
    <s v="NA"/>
    <n v="3"/>
    <n v="3"/>
    <n v="3"/>
    <s v="NA"/>
    <s v="NA"/>
    <s v="Pass"/>
    <x v="0"/>
    <s v=""/>
    <x v="0"/>
    <x v="0"/>
    <s v=""/>
    <n v="1"/>
    <x v="0"/>
    <s v=""/>
  </r>
  <r>
    <d v="2022-10-28T00:00:00"/>
    <x v="1"/>
    <x v="0"/>
    <x v="0"/>
    <x v="0"/>
    <x v="2"/>
    <x v="1"/>
    <x v="0"/>
    <s v="Resolved by Scaled TPS independently "/>
    <n v="3"/>
    <n v="3"/>
    <n v="3"/>
    <n v="3"/>
    <n v="3"/>
    <n v="1"/>
    <n v="3"/>
    <n v="3"/>
    <s v="Accountability &amp; Ownership: Did not provide status update every 1 working day until incident is solved. (P2). Expected Follow Ups."/>
    <s v="Fail"/>
    <x v="1"/>
    <n v="1"/>
    <m/>
    <n v="3"/>
    <n v="3"/>
    <n v="3"/>
    <n v="3"/>
    <s v="NA"/>
    <n v="3"/>
    <n v="3"/>
    <n v="3"/>
    <s v="NA"/>
    <s v="NA"/>
    <s v="Pass"/>
    <x v="0"/>
    <s v=""/>
    <x v="1"/>
    <x v="1"/>
    <n v="1"/>
    <n v="1"/>
    <x v="1"/>
    <s v="Accountability &amp; Ownership"/>
  </r>
  <r>
    <d v="2022-10-28T00:00:00"/>
    <x v="1"/>
    <x v="0"/>
    <x v="0"/>
    <x v="0"/>
    <x v="3"/>
    <x v="1"/>
    <x v="0"/>
    <s v="Resolved by Scaled TPS independently "/>
    <n v="3"/>
    <n v="3"/>
    <n v="3"/>
    <n v="3"/>
    <n v="3"/>
    <n v="3"/>
    <n v="3"/>
    <n v="3"/>
    <s v="N/A"/>
    <s v="Pass"/>
    <x v="0"/>
    <n v="0"/>
    <m/>
    <n v="3"/>
    <n v="3"/>
    <n v="3"/>
    <n v="3"/>
    <s v="NA"/>
    <n v="3"/>
    <n v="3"/>
    <n v="3"/>
    <s v="NA"/>
    <s v="NA"/>
    <s v="Pass"/>
    <x v="0"/>
    <s v=""/>
    <x v="0"/>
    <x v="0"/>
    <s v=""/>
    <n v="1"/>
    <x v="0"/>
    <s v=""/>
  </r>
  <r>
    <d v="2022-10-25T00:00:00"/>
    <x v="1"/>
    <x v="0"/>
    <x v="0"/>
    <x v="0"/>
    <x v="4"/>
    <x v="2"/>
    <x v="0"/>
    <s v="Resolved by Scaled TPS independently "/>
    <n v="3"/>
    <n v="3"/>
    <n v="3"/>
    <n v="3"/>
    <n v="3"/>
    <n v="3"/>
    <n v="3"/>
    <n v="3"/>
    <s v="N/A"/>
    <s v="Pass"/>
    <x v="0"/>
    <n v="0"/>
    <m/>
    <n v="3"/>
    <n v="3"/>
    <n v="3"/>
    <n v="3"/>
    <s v="NA"/>
    <n v="3"/>
    <n v="3"/>
    <n v="3"/>
    <s v="NA"/>
    <s v="NA"/>
    <s v="Pass"/>
    <x v="0"/>
    <s v=""/>
    <x v="0"/>
    <x v="0"/>
    <s v=""/>
    <n v="1"/>
    <x v="0"/>
    <s v=""/>
  </r>
  <r>
    <d v="2022-10-24T00:00:00"/>
    <x v="1"/>
    <x v="0"/>
    <x v="0"/>
    <x v="0"/>
    <x v="5"/>
    <x v="2"/>
    <x v="0"/>
    <s v="Resolved by Scaled TPS independently "/>
    <n v="3"/>
    <n v="3"/>
    <n v="3"/>
    <n v="3"/>
    <n v="3"/>
    <n v="3"/>
    <n v="3"/>
    <n v="3"/>
    <s v="N/A"/>
    <s v="Pass"/>
    <x v="0"/>
    <n v="0"/>
    <m/>
    <n v="3"/>
    <n v="3"/>
    <n v="3"/>
    <n v="3"/>
    <s v="NA"/>
    <n v="3"/>
    <n v="3"/>
    <n v="3"/>
    <s v="NA"/>
    <s v="NA"/>
    <s v="Pass"/>
    <x v="0"/>
    <s v=""/>
    <x v="0"/>
    <x v="0"/>
    <s v=""/>
    <n v="1"/>
    <x v="0"/>
    <s v=""/>
  </r>
  <r>
    <d v="2022-10-25T00:00:00"/>
    <x v="1"/>
    <x v="0"/>
    <x v="0"/>
    <x v="0"/>
    <x v="6"/>
    <x v="3"/>
    <x v="0"/>
    <s v="Resolved by Scaled TPS independently "/>
    <n v="3"/>
    <n v="3"/>
    <n v="3"/>
    <n v="3"/>
    <n v="3"/>
    <n v="3"/>
    <n v="3"/>
    <n v="3"/>
    <s v="N/A"/>
    <s v="Pass"/>
    <x v="0"/>
    <n v="0"/>
    <m/>
    <n v="3"/>
    <n v="3"/>
    <n v="3"/>
    <n v="3"/>
    <s v="NA"/>
    <n v="3"/>
    <n v="3"/>
    <n v="3"/>
    <s v="NA"/>
    <s v="NA"/>
    <s v="Pass"/>
    <x v="0"/>
    <s v=""/>
    <x v="0"/>
    <x v="0"/>
    <s v=""/>
    <n v="1"/>
    <x v="0"/>
    <s v=""/>
  </r>
  <r>
    <d v="2022-10-24T00:00:00"/>
    <x v="1"/>
    <x v="0"/>
    <x v="0"/>
    <x v="0"/>
    <x v="7"/>
    <x v="3"/>
    <x v="0"/>
    <s v="Resolved by Scaled TPS independently "/>
    <n v="3"/>
    <n v="3"/>
    <n v="3"/>
    <n v="3"/>
    <n v="3"/>
    <n v="3"/>
    <n v="3"/>
    <n v="3"/>
    <s v="N/A"/>
    <s v="Pass"/>
    <x v="0"/>
    <n v="0"/>
    <m/>
    <n v="3"/>
    <n v="3"/>
    <n v="3"/>
    <n v="3"/>
    <s v="NA"/>
    <n v="3"/>
    <n v="3"/>
    <n v="3"/>
    <s v="NA"/>
    <s v="NA"/>
    <s v="Pass"/>
    <x v="0"/>
    <s v=""/>
    <x v="0"/>
    <x v="0"/>
    <s v=""/>
    <n v="1"/>
    <x v="0"/>
    <s v=""/>
  </r>
  <r>
    <d v="2022-10-25T00:00:00"/>
    <x v="2"/>
    <x v="0"/>
    <x v="0"/>
    <x v="0"/>
    <x v="8"/>
    <x v="4"/>
    <x v="0"/>
    <s v="Escalated to Global TPS "/>
    <n v="3"/>
    <n v="3"/>
    <n v="3"/>
    <n v="3"/>
    <n v="3"/>
    <n v="3"/>
    <n v="3"/>
    <n v="3"/>
    <s v="N/A"/>
    <s v="Pass"/>
    <x v="0"/>
    <n v="0"/>
    <m/>
    <n v="3"/>
    <n v="3"/>
    <n v="3"/>
    <n v="3"/>
    <s v="NA"/>
    <n v="3"/>
    <n v="3"/>
    <n v="3"/>
    <s v="NA"/>
    <s v="Good ticket, correct recommendations"/>
    <s v="Pass"/>
    <x v="0"/>
    <s v=""/>
    <x v="0"/>
    <x v="0"/>
    <s v=""/>
    <n v="1"/>
    <x v="0"/>
    <s v=""/>
  </r>
  <r>
    <d v="2022-10-25T00:00:00"/>
    <x v="2"/>
    <x v="0"/>
    <x v="0"/>
    <x v="0"/>
    <x v="9"/>
    <x v="4"/>
    <x v="0"/>
    <s v="Resolved by Scaled TPS independently "/>
    <n v="3"/>
    <n v="3"/>
    <n v="3"/>
    <n v="3"/>
    <n v="3"/>
    <n v="3"/>
    <n v="3"/>
    <n v="3"/>
    <s v="N/A"/>
    <s v="Pass"/>
    <x v="0"/>
    <n v="0"/>
    <m/>
    <n v="3"/>
    <n v="3"/>
    <n v="3"/>
    <n v="3"/>
    <s v="NA"/>
    <n v="2"/>
    <n v="3"/>
    <n v="3"/>
    <n v="3"/>
    <s v="Ok ticket, good comms"/>
    <s v="Neutral"/>
    <x v="0"/>
    <s v=""/>
    <x v="2"/>
    <x v="0"/>
    <s v=""/>
    <n v="1"/>
    <x v="0"/>
    <s v=""/>
  </r>
  <r>
    <d v="2022-10-28T00:00:00"/>
    <x v="2"/>
    <x v="0"/>
    <x v="0"/>
    <x v="0"/>
    <x v="10"/>
    <x v="5"/>
    <x v="0"/>
    <s v="Resolved by Scaled TPS independently "/>
    <n v="3"/>
    <n v="3"/>
    <n v="3"/>
    <n v="3"/>
    <n v="3"/>
    <n v="3"/>
    <n v="3"/>
    <n v="3"/>
    <s v="N/A"/>
    <s v="Pass"/>
    <x v="0"/>
    <n v="0"/>
    <m/>
    <n v="2"/>
    <s v="NA"/>
    <n v="3"/>
    <n v="1"/>
    <s v="NA"/>
    <n v="3"/>
    <n v="2"/>
    <n v="2"/>
    <s v="NA"/>
    <s v="Issue understanding requesters ask"/>
    <s v="Fail"/>
    <x v="1"/>
    <n v="1"/>
    <x v="1"/>
    <x v="1"/>
    <n v="1"/>
    <n v="1"/>
    <x v="2"/>
    <s v="Effective Inquiry"/>
  </r>
  <r>
    <d v="2022-10-26T00:00:00"/>
    <x v="2"/>
    <x v="0"/>
    <x v="0"/>
    <x v="0"/>
    <x v="11"/>
    <x v="5"/>
    <x v="0"/>
    <s v="Resolved by Scaled TPS independently "/>
    <n v="3"/>
    <n v="3"/>
    <n v="3"/>
    <n v="3"/>
    <n v="3"/>
    <n v="3"/>
    <n v="3"/>
    <n v="3"/>
    <s v="N/A"/>
    <s v="Pass"/>
    <x v="0"/>
    <n v="0"/>
    <m/>
    <n v="3"/>
    <n v="3"/>
    <n v="3"/>
    <n v="3"/>
    <s v="NA"/>
    <n v="3"/>
    <n v="3"/>
    <n v="3"/>
    <s v="NA"/>
    <s v="Efficient work on the ticket"/>
    <s v="Pass"/>
    <x v="0"/>
    <s v=""/>
    <x v="0"/>
    <x v="0"/>
    <s v=""/>
    <n v="1"/>
    <x v="0"/>
    <s v=""/>
  </r>
  <r>
    <d v="2022-10-29T00:00:00"/>
    <x v="2"/>
    <x v="0"/>
    <x v="0"/>
    <x v="0"/>
    <x v="12"/>
    <x v="6"/>
    <x v="0"/>
    <s v="Escalated to Global TPS "/>
    <n v="3"/>
    <n v="3"/>
    <n v="3"/>
    <n v="3"/>
    <n v="3"/>
    <n v="3"/>
    <n v="3"/>
    <n v="3"/>
    <s v="N/A"/>
    <s v="Pass"/>
    <x v="0"/>
    <n v="0"/>
    <m/>
    <n v="3"/>
    <n v="3"/>
    <n v="3"/>
    <n v="3"/>
    <s v="NA"/>
    <n v="2"/>
    <n v="3"/>
    <n v="3"/>
    <n v="3"/>
    <s v="Ok ticket, but issue is not solved"/>
    <s v="Neutral"/>
    <x v="0"/>
    <s v=""/>
    <x v="2"/>
    <x v="0"/>
    <s v=""/>
    <n v="1"/>
    <x v="0"/>
    <s v=""/>
  </r>
  <r>
    <d v="2022-10-24T00:00:00"/>
    <x v="2"/>
    <x v="0"/>
    <x v="0"/>
    <x v="0"/>
    <x v="13"/>
    <x v="6"/>
    <x v="0"/>
    <s v="Resolved by Scaled TPS independently "/>
    <n v="3"/>
    <n v="3"/>
    <n v="3"/>
    <n v="3"/>
    <n v="3"/>
    <n v="3"/>
    <n v="3"/>
    <n v="3"/>
    <s v="N/A"/>
    <s v="Pass"/>
    <x v="0"/>
    <n v="0"/>
    <m/>
    <n v="3"/>
    <n v="2"/>
    <n v="2"/>
    <n v="3"/>
    <s v="NA"/>
    <n v="2"/>
    <n v="3"/>
    <n v="1"/>
    <s v="NA"/>
    <s v="Issue unresolved. Suggested reaching out to Implementation team for case that won't qualify. Need to reallign on comms"/>
    <s v="Fail"/>
    <x v="1"/>
    <n v="1"/>
    <x v="1"/>
    <x v="1"/>
    <n v="1"/>
    <n v="1"/>
    <x v="3"/>
    <s v="Resolution time"/>
  </r>
  <r>
    <d v="2022-10-25T00:00:00"/>
    <x v="2"/>
    <x v="0"/>
    <x v="0"/>
    <x v="0"/>
    <x v="14"/>
    <x v="7"/>
    <x v="0"/>
    <s v="Resolved by Scaled TPS independently "/>
    <n v="3"/>
    <n v="3"/>
    <n v="3"/>
    <n v="3"/>
    <n v="3"/>
    <n v="3"/>
    <n v="3"/>
    <n v="3"/>
    <s v="N/A"/>
    <s v="Pass"/>
    <x v="0"/>
    <n v="0"/>
    <m/>
    <n v="3"/>
    <n v="2"/>
    <n v="2"/>
    <n v="2"/>
    <n v="3"/>
    <n v="3"/>
    <s v="NA"/>
    <s v="NA"/>
    <n v="3"/>
    <s v="Ok ticket. Need to work on clarity of communication"/>
    <s v="Neutral"/>
    <x v="0"/>
    <s v=""/>
    <x v="2"/>
    <x v="0"/>
    <s v=""/>
    <n v="1"/>
    <x v="0"/>
    <s v=""/>
  </r>
  <r>
    <d v="2022-10-25T00:00:00"/>
    <x v="2"/>
    <x v="0"/>
    <x v="0"/>
    <x v="0"/>
    <x v="15"/>
    <x v="7"/>
    <x v="0"/>
    <s v="Resolved by Scaled TPS independently "/>
    <n v="3"/>
    <n v="3"/>
    <n v="3"/>
    <n v="3"/>
    <n v="3"/>
    <n v="1"/>
    <n v="3"/>
    <n v="3"/>
    <s v="Accountability &amp; Ownership: Did not provide status update every 1 working day until incident is solved. (P2). Expected Follow Ups."/>
    <s v="Fail"/>
    <x v="1"/>
    <n v="1"/>
    <m/>
    <s v="NA"/>
    <n v="3"/>
    <n v="2"/>
    <n v="1"/>
    <s v="NA"/>
    <n v="3"/>
    <n v="3"/>
    <n v="1"/>
    <s v="NA"/>
    <s v="Elijah did provide a recommendation, but failed to address additional questions in requester follow ups. Needs improvement"/>
    <s v="Fail"/>
    <x v="1"/>
    <n v="1"/>
    <x v="1"/>
    <x v="1"/>
    <n v="1"/>
    <n v="1"/>
    <x v="4"/>
    <s v="Accountability &amp; Ownership , Effective Inquiry , Resolution time"/>
  </r>
  <r>
    <d v="2022-10-29T00:00:00"/>
    <x v="2"/>
    <x v="0"/>
    <x v="0"/>
    <x v="0"/>
    <x v="16"/>
    <x v="8"/>
    <x v="0"/>
    <s v="Resolved by Scaled TPS independently "/>
    <n v="3"/>
    <n v="3"/>
    <n v="3"/>
    <n v="3"/>
    <n v="3"/>
    <n v="3"/>
    <n v="3"/>
    <n v="3"/>
    <s v="N/A"/>
    <s v="Pass"/>
    <x v="0"/>
    <n v="0"/>
    <m/>
    <n v="3"/>
    <n v="3"/>
    <n v="3"/>
    <n v="3"/>
    <s v="NA"/>
    <n v="3"/>
    <n v="3"/>
    <n v="2"/>
    <s v="NA"/>
    <s v="Ok ticket (out of scope)"/>
    <s v="Neutral"/>
    <x v="0"/>
    <s v=""/>
    <x v="2"/>
    <x v="0"/>
    <s v=""/>
    <n v="1"/>
    <x v="0"/>
    <s v=""/>
  </r>
  <r>
    <d v="2022-10-26T00:00:00"/>
    <x v="2"/>
    <x v="0"/>
    <x v="0"/>
    <x v="0"/>
    <x v="17"/>
    <x v="8"/>
    <x v="0"/>
    <s v="Resolved by Scaled TPS independently "/>
    <n v="3"/>
    <n v="3"/>
    <n v="3"/>
    <n v="3"/>
    <n v="3"/>
    <n v="1"/>
    <n v="3"/>
    <n v="3"/>
    <s v="Accountability &amp; Ownership: Did not provide status update every 1 working day until incident is solved. (P2). Expected Follow Ups."/>
    <s v="Fail"/>
    <x v="1"/>
    <n v="1"/>
    <m/>
    <s v=""/>
    <s v=""/>
    <s v=""/>
    <s v=""/>
    <s v=""/>
    <s v=""/>
    <s v=""/>
    <s v=""/>
    <s v=""/>
    <s v=""/>
    <s v="Fail"/>
    <x v="1"/>
    <n v="1"/>
    <x v="1"/>
    <x v="1"/>
    <n v="1"/>
    <n v="1"/>
    <x v="5"/>
    <s v="Accountability &amp; Ownership"/>
  </r>
  <r>
    <d v="2022-10-27T00:00:00"/>
    <x v="2"/>
    <x v="0"/>
    <x v="0"/>
    <x v="0"/>
    <x v="18"/>
    <x v="9"/>
    <x v="0"/>
    <s v="Resolved by Scaled TPS independently "/>
    <n v="3"/>
    <n v="3"/>
    <n v="3"/>
    <n v="3"/>
    <n v="3"/>
    <n v="3"/>
    <n v="3"/>
    <n v="3"/>
    <s v="N/A"/>
    <s v="Pass"/>
    <x v="0"/>
    <n v="0"/>
    <m/>
    <n v="3"/>
    <n v="3"/>
    <n v="3"/>
    <n v="2"/>
    <n v="3"/>
    <n v="3"/>
    <n v="3"/>
    <n v="1"/>
    <s v="NA"/>
    <s v="Bonnie managed to provide a correct response and help find the solution, but failed to inquire if the account been allowlisted. Ok ticket, but need to consider allowlisting as the possible issue earlier"/>
    <s v="Fail"/>
    <x v="1"/>
    <n v="1"/>
    <x v="1"/>
    <x v="1"/>
    <n v="1"/>
    <n v="1"/>
    <x v="6"/>
    <s v="Resolution time"/>
  </r>
  <r>
    <d v="2022-11-25T00:00:00"/>
    <x v="2"/>
    <x v="1"/>
    <x v="1"/>
    <x v="1"/>
    <x v="19"/>
    <x v="9"/>
    <x v="0"/>
    <s v="Resolved by Scaled TPS independently "/>
    <n v="3"/>
    <n v="3"/>
    <n v="3"/>
    <n v="3"/>
    <n v="3"/>
    <n v="3"/>
    <n v="3"/>
    <n v="3"/>
    <s v="N/A"/>
    <s v="Pass"/>
    <x v="0"/>
    <n v="0"/>
    <m/>
    <n v="2"/>
    <n v="3"/>
    <n v="3"/>
    <n v="3"/>
    <s v="NA"/>
    <n v="2"/>
    <n v="3"/>
    <n v="3"/>
    <s v="NA"/>
    <s v="Good use of templates and explanations, fast resolution and allowed time to follow up. _x000a_Wrong priority (with $10 M USD 30d spend, should be P0)."/>
    <s v="Neutral"/>
    <x v="0"/>
    <s v=""/>
    <x v="2"/>
    <x v="0"/>
    <s v=""/>
    <n v="1"/>
    <x v="0"/>
    <s v=""/>
  </r>
  <r>
    <d v="2022-10-28T00:00:00"/>
    <x v="2"/>
    <x v="0"/>
    <x v="0"/>
    <x v="0"/>
    <x v="20"/>
    <x v="10"/>
    <x v="0"/>
    <s v="Resolved by Scaled TPS independently "/>
    <n v="3"/>
    <n v="3"/>
    <n v="3"/>
    <n v="3"/>
    <n v="3"/>
    <n v="3"/>
    <n v="3"/>
    <n v="3"/>
    <s v="N/A"/>
    <s v="Pass"/>
    <x v="0"/>
    <n v="0"/>
    <m/>
    <n v="3"/>
    <n v="3"/>
    <n v="3"/>
    <n v="3"/>
    <s v="NA"/>
    <n v="3"/>
    <n v="3"/>
    <n v="3"/>
    <s v="NA"/>
    <s v="Solid single response ticket. Would be better if provided explanation doc"/>
    <s v="Pass"/>
    <x v="0"/>
    <s v=""/>
    <x v="0"/>
    <x v="0"/>
    <s v=""/>
    <n v="1"/>
    <x v="0"/>
    <s v=""/>
  </r>
  <r>
    <d v="2022-10-25T00:00:00"/>
    <x v="2"/>
    <x v="0"/>
    <x v="0"/>
    <x v="0"/>
    <x v="21"/>
    <x v="10"/>
    <x v="0"/>
    <s v="Resolved by Scaled TPS independently "/>
    <n v="3"/>
    <n v="3"/>
    <n v="3"/>
    <n v="3"/>
    <n v="3"/>
    <n v="3"/>
    <n v="3"/>
    <n v="3"/>
    <s v="N/A"/>
    <s v="Pass"/>
    <x v="0"/>
    <n v="0"/>
    <m/>
    <n v="3"/>
    <n v="3"/>
    <n v="3"/>
    <n v="3"/>
    <s v="NA"/>
    <n v="3"/>
    <n v="3"/>
    <n v="2"/>
    <s v="NA"/>
    <s v="Good ticket. Provided reference to the document explaining limitations."/>
    <s v="Neutral"/>
    <x v="0"/>
    <s v=""/>
    <x v="2"/>
    <x v="0"/>
    <s v=""/>
    <n v="1"/>
    <x v="0"/>
    <s v=""/>
  </r>
  <r>
    <d v="2022-10-26T00:00:00"/>
    <x v="2"/>
    <x v="0"/>
    <x v="0"/>
    <x v="0"/>
    <x v="22"/>
    <x v="11"/>
    <x v="0"/>
    <s v="Resolved by Scaled TPS independently "/>
    <n v="3"/>
    <n v="3"/>
    <n v="3"/>
    <n v="3"/>
    <n v="3"/>
    <n v="3"/>
    <n v="3"/>
    <n v="3"/>
    <s v="N/A"/>
    <s v="Pass"/>
    <x v="0"/>
    <n v="0"/>
    <m/>
    <n v="3"/>
    <n v="3"/>
    <n v="3"/>
    <n v="3"/>
    <s v="NA"/>
    <n v="3"/>
    <n v="3"/>
    <n v="3"/>
    <s v="NA"/>
    <s v="Great explanation and level of detail in response. Correct assessment of the situation"/>
    <s v="Pass"/>
    <x v="0"/>
    <s v=""/>
    <x v="0"/>
    <x v="0"/>
    <s v=""/>
    <n v="1"/>
    <x v="0"/>
    <s v=""/>
  </r>
  <r>
    <d v="2022-10-26T00:00:00"/>
    <x v="2"/>
    <x v="0"/>
    <x v="0"/>
    <x v="0"/>
    <x v="23"/>
    <x v="11"/>
    <x v="0"/>
    <s v="Resolved by Scaled TPS independently "/>
    <n v="3"/>
    <n v="3"/>
    <n v="3"/>
    <n v="3"/>
    <n v="3"/>
    <n v="3"/>
    <n v="3"/>
    <n v="3"/>
    <s v="N/A"/>
    <s v="Pass"/>
    <x v="0"/>
    <n v="0"/>
    <m/>
    <n v="3"/>
    <n v="3"/>
    <n v="3"/>
    <n v="3"/>
    <s v="NA"/>
    <n v="3"/>
    <n v="3"/>
    <n v="1"/>
    <s v="NA"/>
    <s v="Efficient comms and clear recommendations/explanations. Ticket has been reopened (with no follow up after. Resolution is slightly above expected SLA due to ticket being reopened and S TPS allowing time to follow up"/>
    <s v="Fail"/>
    <x v="1"/>
    <n v="1"/>
    <x v="1"/>
    <x v="1"/>
    <n v="1"/>
    <n v="1"/>
    <x v="7"/>
    <s v="Resolution time"/>
  </r>
  <r>
    <d v="2022-10-25T00:00:00"/>
    <x v="2"/>
    <x v="0"/>
    <x v="0"/>
    <x v="0"/>
    <x v="24"/>
    <x v="12"/>
    <x v="0"/>
    <s v="Resolved by Scaled TPS independently "/>
    <n v="3"/>
    <n v="3"/>
    <n v="3"/>
    <n v="3"/>
    <n v="3"/>
    <n v="3"/>
    <n v="3"/>
    <n v="3"/>
    <s v="N/A"/>
    <s v="Pass"/>
    <x v="0"/>
    <n v="0"/>
    <m/>
    <n v="3"/>
    <n v="3"/>
    <n v="3"/>
    <n v="3"/>
    <s v="NA"/>
    <n v="3"/>
    <n v="3"/>
    <n v="2"/>
    <s v="NA"/>
    <s v="RT is slightly above SLA (74 hr). Assistance provided in the ticket helped to resolve the issue and provide suitable explanation"/>
    <s v="Neutral"/>
    <x v="0"/>
    <s v=""/>
    <x v="2"/>
    <x v="0"/>
    <s v=""/>
    <n v="1"/>
    <x v="0"/>
    <s v=""/>
  </r>
  <r>
    <d v="2022-10-25T00:00:00"/>
    <x v="2"/>
    <x v="0"/>
    <x v="0"/>
    <x v="0"/>
    <x v="25"/>
    <x v="12"/>
    <x v="0"/>
    <s v="Resolved by Scaled TPS independently "/>
    <n v="3"/>
    <n v="3"/>
    <n v="3"/>
    <n v="3"/>
    <n v="3"/>
    <n v="3"/>
    <n v="3"/>
    <n v="3"/>
    <s v="N/A"/>
    <s v="Pass"/>
    <x v="0"/>
    <n v="0"/>
    <m/>
    <n v="3"/>
    <n v="3"/>
    <n v="3"/>
    <n v="3"/>
    <s v="NA"/>
    <n v="3"/>
    <n v="3"/>
    <n v="3"/>
    <s v="NA"/>
    <s v="Good ticket, effective analysis and clear recommendations"/>
    <s v="Pass"/>
    <x v="0"/>
    <s v=""/>
    <x v="0"/>
    <x v="0"/>
    <s v=""/>
    <n v="1"/>
    <x v="0"/>
    <s v=""/>
  </r>
  <r>
    <d v="2022-10-29T00:00:00"/>
    <x v="2"/>
    <x v="0"/>
    <x v="0"/>
    <x v="0"/>
    <x v="26"/>
    <x v="13"/>
    <x v="0"/>
    <s v="Resolved by Scaled TPS independently "/>
    <n v="3"/>
    <n v="3"/>
    <n v="3"/>
    <n v="3"/>
    <n v="3"/>
    <n v="3"/>
    <n v="3"/>
    <n v="3"/>
    <s v="N/A"/>
    <s v="Pass"/>
    <x v="0"/>
    <n v="0"/>
    <m/>
    <n v="3"/>
    <n v="3"/>
    <n v="3"/>
    <n v="2"/>
    <s v="NA"/>
    <s v="NA"/>
    <n v="3"/>
    <n v="2"/>
    <s v="NA"/>
    <s v="This ticket is not a good fit for QA review as it only contains single probing response from Scaled TPS and no follow up from the requester side. Not much to evaluate here"/>
    <s v="Neutral"/>
    <x v="0"/>
    <s v=""/>
    <x v="2"/>
    <x v="0"/>
    <s v=""/>
    <n v="1"/>
    <x v="0"/>
    <s v=""/>
  </r>
  <r>
    <d v="2022-10-27T00:00:00"/>
    <x v="2"/>
    <x v="0"/>
    <x v="0"/>
    <x v="0"/>
    <x v="27"/>
    <x v="13"/>
    <x v="0"/>
    <s v="Resolved by Scaled TPS independently "/>
    <n v="3"/>
    <n v="3"/>
    <n v="3"/>
    <n v="3"/>
    <n v="3"/>
    <n v="3"/>
    <n v="3"/>
    <n v="3"/>
    <s v="N/A"/>
    <s v="Pass"/>
    <x v="0"/>
    <n v="0"/>
    <m/>
    <n v="3"/>
    <n v="3"/>
    <n v="2"/>
    <n v="3"/>
    <s v="NA"/>
    <n v="3"/>
    <n v="3"/>
    <n v="2"/>
    <s v="NA"/>
    <s v="Jessica provided correct suggestions but failed to address the question about BLS linked to R&amp;F campaign in question, limiting response to generic recommendation"/>
    <s v="Neutral"/>
    <x v="0"/>
    <s v=""/>
    <x v="2"/>
    <x v="0"/>
    <s v=""/>
    <n v="1"/>
    <x v="0"/>
    <s v=""/>
  </r>
  <r>
    <d v="2022-10-27T00:00:00"/>
    <x v="2"/>
    <x v="0"/>
    <x v="0"/>
    <x v="0"/>
    <x v="28"/>
    <x v="14"/>
    <x v="0"/>
    <s v="Resolved by Scaled TPS independently "/>
    <n v="3"/>
    <n v="3"/>
    <n v="3"/>
    <n v="3"/>
    <n v="3"/>
    <n v="3"/>
    <n v="3"/>
    <n v="3"/>
    <s v="N/A"/>
    <s v="Pass"/>
    <x v="0"/>
    <n v="0"/>
    <m/>
    <n v="3"/>
    <n v="3"/>
    <n v="3"/>
    <n v="3"/>
    <s v="NA"/>
    <n v="3"/>
    <n v="3"/>
    <n v="2"/>
    <s v="NA"/>
    <s v="Good comms and efficient resolution. A bit over SLA due to auto-closing (legitimate use, considering potential new questions from the requester)."/>
    <s v="Neutral"/>
    <x v="0"/>
    <s v=""/>
    <x v="2"/>
    <x v="0"/>
    <s v=""/>
    <n v="1"/>
    <x v="0"/>
    <s v=""/>
  </r>
  <r>
    <d v="2022-10-27T00:00:00"/>
    <x v="2"/>
    <x v="0"/>
    <x v="0"/>
    <x v="0"/>
    <x v="29"/>
    <x v="14"/>
    <x v="0"/>
    <s v="Resolved by Scaled TPS independently "/>
    <n v="3"/>
    <n v="3"/>
    <n v="3"/>
    <n v="3"/>
    <n v="3"/>
    <n v="3"/>
    <n v="3"/>
    <n v="3"/>
    <s v="N/A"/>
    <s v="Pass"/>
    <x v="0"/>
    <n v="0"/>
    <m/>
    <n v="3"/>
    <n v="3"/>
    <n v="3"/>
    <n v="3"/>
    <n v="3"/>
    <n v="3"/>
    <n v="3"/>
    <n v="3"/>
    <n v="3"/>
    <s v="Good ticket with efficient escalation notes (Global pushed ticket back to Brianna). Brianna provided recommendations in the first message along with the hypothesis around the issue itself."/>
    <s v="Pass"/>
    <x v="0"/>
    <s v=""/>
    <x v="0"/>
    <x v="0"/>
    <s v=""/>
    <n v="1"/>
    <x v="0"/>
    <s v=""/>
  </r>
  <r>
    <d v="2022-10-27T00:00:00"/>
    <x v="2"/>
    <x v="0"/>
    <x v="0"/>
    <x v="0"/>
    <x v="30"/>
    <x v="15"/>
    <x v="0"/>
    <s v="Resolved by Scaled TPS independently "/>
    <n v="3"/>
    <n v="3"/>
    <n v="3"/>
    <n v="3"/>
    <n v="3"/>
    <n v="3"/>
    <n v="3"/>
    <n v="3"/>
    <s v="N/A"/>
    <s v="Pass"/>
    <x v="0"/>
    <n v="0"/>
    <m/>
    <n v="3"/>
    <n v="3"/>
    <n v="3"/>
    <n v="3"/>
    <s v="NA"/>
    <n v="3"/>
    <n v="2"/>
    <n v="2"/>
    <s v="NA"/>
    <s v="Ok ticket, correct info provided."/>
    <s v="Neutral"/>
    <x v="0"/>
    <s v=""/>
    <x v="2"/>
    <x v="0"/>
    <s v=""/>
    <n v="1"/>
    <x v="0"/>
    <s v=""/>
  </r>
  <r>
    <d v="2022-10-26T00:00:00"/>
    <x v="2"/>
    <x v="0"/>
    <x v="0"/>
    <x v="0"/>
    <x v="31"/>
    <x v="15"/>
    <x v="0"/>
    <s v="Resolved by Scaled TPS independently "/>
    <n v="3"/>
    <n v="3"/>
    <n v="3"/>
    <n v="3"/>
    <n v="3"/>
    <n v="3"/>
    <n v="3"/>
    <n v="3"/>
    <s v="N/A"/>
    <s v="Pass"/>
    <x v="0"/>
    <n v="0"/>
    <m/>
    <n v="3"/>
    <n v="3"/>
    <n v="3"/>
    <n v="3"/>
    <s v="NA"/>
    <n v="3"/>
    <n v="3"/>
    <n v="2"/>
    <s v="NA"/>
    <s v="Good use of templated responses. RT is a bit over SLA due to use of auto-closer (legitimate use in this case)"/>
    <s v="Neutral"/>
    <x v="0"/>
    <s v=""/>
    <x v="2"/>
    <x v="0"/>
    <s v=""/>
    <n v="1"/>
    <x v="0"/>
    <s v=""/>
  </r>
  <r>
    <d v="2022-10-26T00:00:00"/>
    <x v="2"/>
    <x v="0"/>
    <x v="0"/>
    <x v="0"/>
    <x v="32"/>
    <x v="16"/>
    <x v="0"/>
    <s v="Resolved by Scaled TPS independently "/>
    <n v="3"/>
    <n v="3"/>
    <n v="3"/>
    <n v="3"/>
    <n v="3"/>
    <n v="3"/>
    <n v="3"/>
    <n v="3"/>
    <s v="N/A"/>
    <s v="Pass"/>
    <x v="0"/>
    <n v="0"/>
    <m/>
    <s v=""/>
    <s v=""/>
    <s v=""/>
    <s v=""/>
    <s v=""/>
    <s v=""/>
    <s v=""/>
    <s v=""/>
    <s v=""/>
    <s v=""/>
    <s v="Fail"/>
    <x v="1"/>
    <n v="1"/>
    <x v="0"/>
    <x v="0"/>
    <s v=""/>
    <n v="1"/>
    <x v="0"/>
    <s v=""/>
  </r>
  <r>
    <d v="2022-10-26T00:00:00"/>
    <x v="2"/>
    <x v="0"/>
    <x v="0"/>
    <x v="0"/>
    <x v="33"/>
    <x v="17"/>
    <x v="0"/>
    <s v="Resolved by Scaled TPS independently "/>
    <n v="3"/>
    <n v="3"/>
    <n v="3"/>
    <n v="3"/>
    <n v="3"/>
    <n v="3"/>
    <n v="3"/>
    <n v="3"/>
    <s v="N/A"/>
    <s v="Pass"/>
    <x v="0"/>
    <n v="0"/>
    <m/>
    <n v="3"/>
    <n v="3"/>
    <n v="3"/>
    <n v="3"/>
    <n v="3"/>
    <n v="3"/>
    <n v="3"/>
    <n v="3"/>
    <s v="NA"/>
    <s v="Not much to comment here. Ray did a good job with probing questions and shared that she doesn't see the same issue as client did."/>
    <s v="Pass"/>
    <x v="0"/>
    <s v=""/>
    <x v="0"/>
    <x v="0"/>
    <s v=""/>
    <n v="1"/>
    <x v="0"/>
    <s v=""/>
  </r>
  <r>
    <d v="2022-10-25T00:00:00"/>
    <x v="2"/>
    <x v="0"/>
    <x v="0"/>
    <x v="0"/>
    <x v="34"/>
    <x v="17"/>
    <x v="0"/>
    <s v="Resolved by Scaled TPS independently "/>
    <n v="3"/>
    <n v="3"/>
    <n v="3"/>
    <n v="3"/>
    <n v="3"/>
    <n v="3"/>
    <n v="3"/>
    <n v="3"/>
    <s v="N/A"/>
    <s v="Pass"/>
    <x v="0"/>
    <n v="0"/>
    <m/>
    <s v="NA"/>
    <n v="3"/>
    <n v="3"/>
    <n v="2"/>
    <s v="NA"/>
    <n v="3"/>
    <n v="3"/>
    <n v="3"/>
    <s v="NA"/>
    <s v="In this ticket it took multiple exchanges to clarify the root cause of the issue and identify correct next steps, but Ray provided adequate support and found resolution."/>
    <s v="Neutral"/>
    <x v="0"/>
    <s v=""/>
    <x v="2"/>
    <x v="0"/>
    <s v=""/>
    <n v="1"/>
    <x v="0"/>
    <s v=""/>
  </r>
  <r>
    <d v="2022-10-26T00:00:00"/>
    <x v="2"/>
    <x v="0"/>
    <x v="0"/>
    <x v="0"/>
    <x v="35"/>
    <x v="18"/>
    <x v="0"/>
    <s v="Resolved by Scaled TPS independently "/>
    <n v="3"/>
    <n v="3"/>
    <n v="3"/>
    <n v="3"/>
    <n v="3"/>
    <n v="3"/>
    <n v="3"/>
    <n v="3"/>
    <s v="N/A"/>
    <s v="Pass"/>
    <x v="0"/>
    <n v="0"/>
    <m/>
    <n v="3"/>
    <n v="3"/>
    <n v="3"/>
    <n v="3"/>
    <s v="NA"/>
    <n v="3"/>
    <n v="3"/>
    <n v="2"/>
    <s v="NA"/>
    <s v="Another example of good troubleshooting done in the ticket. Grant addressed all additional questions in the ticket and provided sufficient explanation on lookalike audience matching. Due to ticket being reopened, total RT is slightly above SLA, 49hr."/>
    <s v="Neutral"/>
    <x v="0"/>
    <s v=""/>
    <x v="2"/>
    <x v="0"/>
    <s v=""/>
    <n v="1"/>
    <x v="0"/>
    <s v=""/>
  </r>
  <r>
    <d v="2022-10-25T00:00:00"/>
    <x v="2"/>
    <x v="0"/>
    <x v="0"/>
    <x v="0"/>
    <x v="36"/>
    <x v="18"/>
    <x v="0"/>
    <s v="Resolved by Scaled TPS independently "/>
    <n v="3"/>
    <n v="3"/>
    <n v="3"/>
    <n v="3"/>
    <n v="3"/>
    <n v="3"/>
    <n v="3"/>
    <n v="3"/>
    <s v="N/A"/>
    <s v="Pass"/>
    <x v="0"/>
    <n v="0"/>
    <m/>
    <n v="2"/>
    <n v="3"/>
    <n v="3"/>
    <n v="3"/>
    <s v="NA"/>
    <n v="3"/>
    <n v="3"/>
    <n v="3"/>
    <s v="NA"/>
    <s v="Good example of troubleshooting done on the ticket. The only comment is that according to new Athena prioritization,$1039681.65 30d spend should be considered P0 (initially selected P0 but later changed to P1)."/>
    <s v="Neutral"/>
    <x v="0"/>
    <s v=""/>
    <x v="2"/>
    <x v="0"/>
    <s v=""/>
    <n v="1"/>
    <x v="0"/>
    <s v=""/>
  </r>
  <r>
    <d v="2022-10-25T00:00:00"/>
    <x v="3"/>
    <x v="0"/>
    <x v="0"/>
    <x v="0"/>
    <x v="37"/>
    <x v="19"/>
    <x v="0"/>
    <s v="Resolved by Scaled TPS independently "/>
    <n v="3"/>
    <n v="3"/>
    <n v="3"/>
    <n v="3"/>
    <n v="3"/>
    <n v="3"/>
    <n v="3"/>
    <n v="3"/>
    <s v="TPS has done exceptionally well."/>
    <s v="Pass"/>
    <x v="0"/>
    <n v="0"/>
    <m/>
    <n v="3"/>
    <n v="3"/>
    <n v="3"/>
    <n v="3"/>
    <s v="NA"/>
    <n v="3"/>
    <n v="3"/>
    <n v="3"/>
    <s v="NA"/>
    <s v="NA"/>
    <s v="Pass"/>
    <x v="0"/>
    <s v=""/>
    <x v="0"/>
    <x v="0"/>
    <s v=""/>
    <n v="1"/>
    <x v="0"/>
    <s v=""/>
  </r>
  <r>
    <d v="2022-10-25T00:00:00"/>
    <x v="3"/>
    <x v="0"/>
    <x v="0"/>
    <x v="0"/>
    <x v="38"/>
    <x v="19"/>
    <x v="0"/>
    <s v="Resolved by Scaled TPS independently "/>
    <n v="3"/>
    <n v="3"/>
    <n v="3"/>
    <n v="3"/>
    <n v="3"/>
    <n v="3"/>
    <n v="3"/>
    <n v="3"/>
    <s v="N/A"/>
    <s v="Pass"/>
    <x v="0"/>
    <n v="0"/>
    <m/>
    <n v="3"/>
    <n v="3"/>
    <n v="3"/>
    <n v="3"/>
    <s v="NA"/>
    <n v="3"/>
    <n v="3"/>
    <n v="2"/>
    <s v="NA"/>
    <s v="Ticket was overdue by almost 4 days. Make sure to write a note to the requester if you cannot resolve the ticket on that day so that the requester at least hears from us once per day."/>
    <s v="Neutral"/>
    <x v="0"/>
    <s v=""/>
    <x v="2"/>
    <x v="0"/>
    <s v=""/>
    <n v="1"/>
    <x v="0"/>
    <s v=""/>
  </r>
  <r>
    <d v="2022-10-27T00:00:00"/>
    <x v="3"/>
    <x v="0"/>
    <x v="0"/>
    <x v="0"/>
    <x v="39"/>
    <x v="20"/>
    <x v="0"/>
    <s v="Resolved by Scaled TPS independently "/>
    <n v="3"/>
    <n v="3"/>
    <n v="3"/>
    <n v="3"/>
    <n v="3"/>
    <n v="3"/>
    <n v="3"/>
    <n v="3"/>
    <s v="N/A"/>
    <s v="Pass"/>
    <x v="0"/>
    <n v="0"/>
    <m/>
    <n v="3"/>
    <n v="3"/>
    <n v="3"/>
    <n v="3"/>
    <s v="NA"/>
    <n v="3"/>
    <n v="3"/>
    <n v="3"/>
    <s v="NA"/>
    <s v="NA"/>
    <s v="Pass"/>
    <x v="0"/>
    <s v=""/>
    <x v="0"/>
    <x v="0"/>
    <s v=""/>
    <n v="1"/>
    <x v="0"/>
    <s v=""/>
  </r>
  <r>
    <d v="2022-10-27T00:00:00"/>
    <x v="3"/>
    <x v="0"/>
    <x v="0"/>
    <x v="0"/>
    <x v="40"/>
    <x v="20"/>
    <x v="0"/>
    <s v="Resolved by Scaled TPS independently "/>
    <n v="3"/>
    <n v="3"/>
    <n v="3"/>
    <n v="3"/>
    <n v="3"/>
    <n v="3"/>
    <n v="3"/>
    <n v="3"/>
    <s v="N/A"/>
    <s v="Pass"/>
    <x v="0"/>
    <n v="0"/>
    <m/>
    <n v="3"/>
    <n v="3"/>
    <n v="3"/>
    <n v="3"/>
    <s v="NA"/>
    <n v="2"/>
    <n v="3"/>
    <n v="3"/>
    <s v="NA"/>
    <s v="You could have highlighted the Overdue invoices, instead of the Unpaid ones to clarify that the issue is with the Overdue ones and not Unpaid ones. It took a few back and forth with the client to get there."/>
    <s v="Neutral"/>
    <x v="0"/>
    <s v=""/>
    <x v="2"/>
    <x v="0"/>
    <s v=""/>
    <n v="1"/>
    <x v="0"/>
    <s v=""/>
  </r>
  <r>
    <d v="2022-10-28T00:00:00"/>
    <x v="3"/>
    <x v="0"/>
    <x v="0"/>
    <x v="0"/>
    <x v="41"/>
    <x v="21"/>
    <x v="0"/>
    <s v="Escalated to Global TPS "/>
    <n v="3"/>
    <n v="3"/>
    <n v="3"/>
    <n v="3"/>
    <n v="3"/>
    <n v="1"/>
    <n v="3"/>
    <n v="3"/>
    <s v="Accountability &amp; Ownership: - Did not provide status update every 1 working day until incident is solved (P2) - Expected follow ups."/>
    <s v="Fail"/>
    <x v="1"/>
    <n v="1"/>
    <m/>
    <n v="3"/>
    <n v="3"/>
    <n v="3"/>
    <n v="3"/>
    <s v="NA"/>
    <n v="3"/>
    <n v="3"/>
    <n v="3"/>
    <s v="NA"/>
    <s v="NA"/>
    <s v="Pass"/>
    <x v="0"/>
    <s v=""/>
    <x v="1"/>
    <x v="1"/>
    <n v="1"/>
    <n v="1"/>
    <x v="8"/>
    <s v="Accountability &amp; Ownership"/>
  </r>
  <r>
    <d v="2022-10-25T00:00:00"/>
    <x v="3"/>
    <x v="0"/>
    <x v="0"/>
    <x v="0"/>
    <x v="42"/>
    <x v="21"/>
    <x v="0"/>
    <s v="Resolved by Scaled TPS independently "/>
    <n v="3"/>
    <n v="3"/>
    <n v="3"/>
    <n v="3"/>
    <n v="3"/>
    <n v="3"/>
    <n v="3"/>
    <n v="3"/>
    <s v="N/A"/>
    <s v="Pass"/>
    <x v="0"/>
    <n v="0"/>
    <m/>
    <n v="3"/>
    <n v="3"/>
    <n v="3"/>
    <n v="3"/>
    <s v="NA"/>
    <n v="3"/>
    <n v="3"/>
    <n v="3"/>
    <s v="NA"/>
    <s v="NA"/>
    <s v="Pass"/>
    <x v="0"/>
    <s v=""/>
    <x v="0"/>
    <x v="0"/>
    <s v=""/>
    <n v="1"/>
    <x v="0"/>
    <s v=""/>
  </r>
  <r>
    <d v="2022-10-25T00:00:00"/>
    <x v="3"/>
    <x v="0"/>
    <x v="0"/>
    <x v="0"/>
    <x v="43"/>
    <x v="22"/>
    <x v="0"/>
    <s v="Escalated to Global TPS "/>
    <n v="3"/>
    <n v="3"/>
    <n v="3"/>
    <n v="3"/>
    <n v="3"/>
    <n v="1"/>
    <n v="3"/>
    <n v="3"/>
    <s v="Accountability &amp; Ownership: - Did not provide status update every 1 working day until incident is solved."/>
    <s v="Fail"/>
    <x v="1"/>
    <n v="1"/>
    <m/>
    <n v="3"/>
    <n v="3"/>
    <n v="3"/>
    <n v="3"/>
    <s v="NA"/>
    <n v="2"/>
    <s v="NA"/>
    <n v="2"/>
    <s v="NA"/>
    <s v="- When you write &quot;communicating on Lark&quot;, please also write whom you are communicating with. Otherwise it becomes difficult whether you are informing the requester already or not. _x000a_- The ticket is overdue already and is still not closed. When this happens make sure to prioritize the ticket the next working day and give an update to the requester."/>
    <s v="Neutral"/>
    <x v="0"/>
    <s v=""/>
    <x v="1"/>
    <x v="1"/>
    <n v="1"/>
    <n v="1"/>
    <x v="9"/>
    <s v="Accountability &amp; Ownership"/>
  </r>
  <r>
    <d v="2022-10-25T00:00:00"/>
    <x v="3"/>
    <x v="0"/>
    <x v="0"/>
    <x v="0"/>
    <x v="44"/>
    <x v="22"/>
    <x v="0"/>
    <s v="Resolved by Scaled TPS independently "/>
    <n v="3"/>
    <n v="3"/>
    <n v="3"/>
    <n v="3"/>
    <n v="3"/>
    <n v="3"/>
    <n v="3"/>
    <n v="3"/>
    <s v="N/A"/>
    <s v="Pass"/>
    <x v="0"/>
    <n v="0"/>
    <m/>
    <n v="3"/>
    <n v="3"/>
    <n v="3"/>
    <n v="3"/>
    <s v="NA"/>
    <n v="3"/>
    <n v="3"/>
    <n v="3"/>
    <s v="NA"/>
    <s v="NA"/>
    <s v="Pass"/>
    <x v="0"/>
    <s v=""/>
    <x v="0"/>
    <x v="0"/>
    <s v=""/>
    <n v="1"/>
    <x v="0"/>
    <s v=""/>
  </r>
  <r>
    <d v="2022-10-26T00:00:00"/>
    <x v="0"/>
    <x v="0"/>
    <x v="0"/>
    <x v="0"/>
    <x v="45"/>
    <x v="23"/>
    <x v="0"/>
    <s v="Resolved by Scaled TPS independently "/>
    <n v="3"/>
    <n v="3"/>
    <n v="3"/>
    <n v="3"/>
    <n v="3"/>
    <n v="3"/>
    <n v="3"/>
    <n v="3"/>
    <s v="N/A"/>
    <s v="Pass"/>
    <x v="0"/>
    <n v="0"/>
    <m/>
    <n v="3"/>
    <n v="3"/>
    <n v="3"/>
    <n v="3"/>
    <s v="NA"/>
    <n v="3"/>
    <n v="3"/>
    <n v="3"/>
    <s v="NA"/>
    <s v="NA"/>
    <s v="Pass"/>
    <x v="0"/>
    <s v=""/>
    <x v="0"/>
    <x v="0"/>
    <s v=""/>
    <n v="1"/>
    <x v="0"/>
    <s v=""/>
  </r>
  <r>
    <d v="2022-10-24T00:00:00"/>
    <x v="0"/>
    <x v="0"/>
    <x v="0"/>
    <x v="0"/>
    <x v="46"/>
    <x v="23"/>
    <x v="0"/>
    <s v="Resolved by Scaled TPS independently "/>
    <n v="3"/>
    <n v="3"/>
    <n v="3"/>
    <n v="3"/>
    <n v="3"/>
    <n v="3"/>
    <n v="3"/>
    <n v="3"/>
    <s v="N/A"/>
    <s v="Pass"/>
    <x v="0"/>
    <n v="0"/>
    <m/>
    <n v="3"/>
    <n v="3"/>
    <n v="3"/>
    <n v="3"/>
    <s v="NA"/>
    <n v="3"/>
    <n v="3"/>
    <n v="3"/>
    <s v="NA"/>
    <s v="NA"/>
    <s v="Pass"/>
    <x v="0"/>
    <s v=""/>
    <x v="0"/>
    <x v="0"/>
    <s v=""/>
    <n v="1"/>
    <x v="0"/>
    <s v=""/>
  </r>
  <r>
    <d v="2022-10-26T00:00:00"/>
    <x v="0"/>
    <x v="0"/>
    <x v="0"/>
    <x v="0"/>
    <x v="47"/>
    <x v="24"/>
    <x v="0"/>
    <s v="Resolved by Scaled TPS independently "/>
    <n v="3"/>
    <n v="3"/>
    <n v="3"/>
    <n v="3"/>
    <n v="3"/>
    <n v="3"/>
    <n v="3"/>
    <n v="3"/>
    <s v="N/A"/>
    <s v="Pass"/>
    <x v="0"/>
    <n v="0"/>
    <m/>
    <n v="3"/>
    <n v="3"/>
    <n v="3"/>
    <n v="3"/>
    <s v="NA"/>
    <n v="3"/>
    <n v="3"/>
    <n v="3"/>
    <s v="NA"/>
    <s v="NA"/>
    <s v="Pass"/>
    <x v="0"/>
    <s v=""/>
    <x v="0"/>
    <x v="0"/>
    <s v=""/>
    <n v="1"/>
    <x v="0"/>
    <s v=""/>
  </r>
  <r>
    <d v="2022-10-24T00:00:00"/>
    <x v="0"/>
    <x v="0"/>
    <x v="0"/>
    <x v="0"/>
    <x v="48"/>
    <x v="24"/>
    <x v="0"/>
    <s v="Resolved by Scaled TPS independently "/>
    <n v="3"/>
    <n v="3"/>
    <n v="3"/>
    <n v="3"/>
    <n v="3"/>
    <n v="3"/>
    <n v="3"/>
    <n v="3"/>
    <s v="N/A"/>
    <s v="Pass"/>
    <x v="0"/>
    <n v="0"/>
    <m/>
    <n v="3"/>
    <n v="3"/>
    <n v="3"/>
    <n v="3"/>
    <s v="NA"/>
    <n v="3"/>
    <n v="3"/>
    <n v="3"/>
    <s v="NA"/>
    <s v="Fahad jumped in to this ticket to help Marta. So I only scored his efforts here."/>
    <s v="Pass"/>
    <x v="0"/>
    <s v=""/>
    <x v="0"/>
    <x v="0"/>
    <s v=""/>
    <n v="1"/>
    <x v="0"/>
    <s v=""/>
  </r>
  <r>
    <d v="2022-10-26T00:00:00"/>
    <x v="0"/>
    <x v="0"/>
    <x v="0"/>
    <x v="0"/>
    <x v="49"/>
    <x v="25"/>
    <x v="0"/>
    <s v="Resolved by Scaled TPS independently "/>
    <n v="3"/>
    <n v="3"/>
    <n v="3"/>
    <n v="3"/>
    <n v="3"/>
    <s v="NA"/>
    <n v="3"/>
    <n v="3"/>
    <s v="N/A"/>
    <s v="Pass"/>
    <x v="0"/>
    <n v="0"/>
    <m/>
    <n v="3"/>
    <n v="3"/>
    <n v="3"/>
    <n v="3"/>
    <s v="NA"/>
    <n v="3"/>
    <n v="3"/>
    <n v="3"/>
    <s v="NA"/>
    <s v="NA"/>
    <s v="Pass"/>
    <x v="0"/>
    <s v=""/>
    <x v="0"/>
    <x v="0"/>
    <s v=""/>
    <n v="1"/>
    <x v="0"/>
    <s v=""/>
  </r>
  <r>
    <d v="2022-10-25T00:00:00"/>
    <x v="0"/>
    <x v="0"/>
    <x v="0"/>
    <x v="0"/>
    <x v="50"/>
    <x v="25"/>
    <x v="0"/>
    <s v="Resolved by Scaled TPS independently "/>
    <n v="3"/>
    <n v="3"/>
    <n v="3"/>
    <n v="3"/>
    <n v="3"/>
    <n v="3"/>
    <n v="3"/>
    <n v="3"/>
    <s v="N/A"/>
    <s v="Pass"/>
    <x v="0"/>
    <n v="0"/>
    <m/>
    <n v="3"/>
    <n v="3"/>
    <n v="3"/>
    <n v="3"/>
    <s v="NA"/>
    <n v="2"/>
    <n v="3"/>
    <n v="3"/>
    <s v="NA"/>
    <s v="Once you rephrase the ticket back to the responder, you can give them the answer with your understanding to avoid back and forth"/>
    <s v="Neutral"/>
    <x v="0"/>
    <s v=""/>
    <x v="2"/>
    <x v="0"/>
    <s v=""/>
    <n v="1"/>
    <x v="0"/>
    <s v=""/>
  </r>
  <r>
    <d v="2022-10-25T00:00:00"/>
    <x v="0"/>
    <x v="0"/>
    <x v="0"/>
    <x v="0"/>
    <x v="51"/>
    <x v="26"/>
    <x v="0"/>
    <s v="Resolved by Scaled TPS independently "/>
    <n v="3"/>
    <n v="3"/>
    <n v="3"/>
    <n v="3"/>
    <n v="3"/>
    <n v="3"/>
    <n v="3"/>
    <n v="3"/>
    <s v="N/A"/>
    <s v="Pass"/>
    <x v="0"/>
    <n v="0"/>
    <m/>
    <n v="3"/>
    <n v="3"/>
    <n v="3"/>
    <n v="3"/>
    <s v="NA"/>
    <n v="3"/>
    <n v="3"/>
    <n v="3"/>
    <s v="NA"/>
    <s v="NA"/>
    <s v="Pass"/>
    <x v="0"/>
    <s v=""/>
    <x v="0"/>
    <x v="0"/>
    <s v=""/>
    <n v="1"/>
    <x v="0"/>
    <s v=""/>
  </r>
  <r>
    <d v="2022-10-24T00:00:00"/>
    <x v="0"/>
    <x v="0"/>
    <x v="0"/>
    <x v="0"/>
    <x v="52"/>
    <x v="26"/>
    <x v="0"/>
    <s v="Resolved by Scaled TPS independently "/>
    <n v="3"/>
    <n v="3"/>
    <n v="3"/>
    <n v="3"/>
    <n v="3"/>
    <n v="3"/>
    <n v="3"/>
    <n v="3"/>
    <s v="N/A"/>
    <s v="Pass"/>
    <x v="0"/>
    <n v="0"/>
    <m/>
    <n v="3"/>
    <n v="3"/>
    <n v="3"/>
    <n v="3"/>
    <s v="NA"/>
    <n v="2"/>
    <n v="3"/>
    <n v="3"/>
    <s v="NA"/>
    <s v="In your last note, instead of just sending the screenshot an explanation to the requester would have made her feel more welcomed."/>
    <s v="Neutral"/>
    <x v="0"/>
    <s v=""/>
    <x v="2"/>
    <x v="0"/>
    <s v=""/>
    <n v="1"/>
    <x v="0"/>
    <s v=""/>
  </r>
  <r>
    <d v="2022-10-25T00:00:00"/>
    <x v="0"/>
    <x v="0"/>
    <x v="0"/>
    <x v="0"/>
    <x v="53"/>
    <x v="27"/>
    <x v="0"/>
    <s v="Resolved by Scaled TPS independently "/>
    <n v="3"/>
    <n v="3"/>
    <n v="3"/>
    <n v="3"/>
    <n v="3"/>
    <n v="3"/>
    <n v="3"/>
    <n v="3"/>
    <s v="N/A"/>
    <s v="Pass"/>
    <x v="0"/>
    <n v="0"/>
    <m/>
    <n v="3"/>
    <n v="3"/>
    <n v="3"/>
    <n v="3"/>
    <s v="NA"/>
    <n v="3"/>
    <n v="3"/>
    <n v="3"/>
    <s v="NA"/>
    <s v="NA"/>
    <s v="Pass"/>
    <x v="0"/>
    <s v=""/>
    <x v="0"/>
    <x v="0"/>
    <s v=""/>
    <n v="1"/>
    <x v="0"/>
    <s v=""/>
  </r>
  <r>
    <d v="2022-10-24T00:00:00"/>
    <x v="0"/>
    <x v="0"/>
    <x v="0"/>
    <x v="0"/>
    <x v="54"/>
    <x v="27"/>
    <x v="0"/>
    <s v="Resolved by Scaled TPS independently "/>
    <n v="3"/>
    <n v="3"/>
    <n v="3"/>
    <n v="3"/>
    <n v="3"/>
    <n v="3"/>
    <n v="3"/>
    <n v="3"/>
    <s v="N/A"/>
    <s v="Pass"/>
    <x v="0"/>
    <n v="0"/>
    <m/>
    <n v="3"/>
    <n v="3"/>
    <n v="3"/>
    <n v="3"/>
    <s v="NA"/>
    <n v="3"/>
    <n v="3"/>
    <n v="3"/>
    <s v="NA"/>
    <s v="NA"/>
    <s v="Pass"/>
    <x v="0"/>
    <s v=""/>
    <x v="0"/>
    <x v="0"/>
    <s v=""/>
    <n v="1"/>
    <x v="0"/>
    <s v=""/>
  </r>
  <r>
    <d v="2022-11-05T00:00:00"/>
    <x v="2"/>
    <x v="2"/>
    <x v="2"/>
    <x v="1"/>
    <x v="55"/>
    <x v="4"/>
    <x v="1"/>
    <s v="Resolved by Scaled TPS independently "/>
    <n v="3"/>
    <n v="3"/>
    <n v="3"/>
    <n v="3"/>
    <n v="3"/>
    <n v="3"/>
    <n v="3"/>
    <n v="3"/>
    <s v="N/A"/>
    <s v="Pass"/>
    <x v="0"/>
    <n v="0"/>
    <m/>
    <n v="3"/>
    <n v="3"/>
    <n v="3"/>
    <n v="3"/>
    <s v="NA"/>
    <s v="NA"/>
    <n v="3"/>
    <n v="2"/>
    <s v="NA"/>
    <s v="Great comms, again slightly above SLA"/>
    <s v="Neutral"/>
    <x v="0"/>
    <s v=""/>
    <x v="2"/>
    <x v="0"/>
    <s v=""/>
    <n v="1"/>
    <x v="0"/>
    <s v=""/>
  </r>
  <r>
    <d v="2022-11-01T00:00:00"/>
    <x v="2"/>
    <x v="2"/>
    <x v="2"/>
    <x v="1"/>
    <x v="56"/>
    <x v="4"/>
    <x v="2"/>
    <s v="Resolved by Scaled TPS independently "/>
    <n v="3"/>
    <n v="3"/>
    <n v="3"/>
    <n v="3"/>
    <n v="3"/>
    <n v="3"/>
    <n v="3"/>
    <n v="3"/>
    <s v="N/A"/>
    <s v="Pass"/>
    <x v="0"/>
    <n v="0"/>
    <m/>
    <n v="3"/>
    <n v="3"/>
    <n v="3"/>
    <n v="3"/>
    <s v="NA"/>
    <n v="3"/>
    <n v="3"/>
    <n v="2"/>
    <s v="NA"/>
    <s v="Very good comms and analysis, slightly above SLA"/>
    <s v="Neutral"/>
    <x v="0"/>
    <s v=""/>
    <x v="2"/>
    <x v="0"/>
    <s v=""/>
    <n v="1"/>
    <x v="0"/>
    <s v=""/>
  </r>
  <r>
    <d v="2022-11-04T00:00:00"/>
    <x v="2"/>
    <x v="2"/>
    <x v="2"/>
    <x v="1"/>
    <x v="57"/>
    <x v="5"/>
    <x v="2"/>
    <s v="Resolved by Scaled TPS independently "/>
    <n v="3"/>
    <n v="3"/>
    <n v="3"/>
    <n v="3"/>
    <n v="3"/>
    <n v="3"/>
    <n v="3"/>
    <n v="3"/>
    <s v="N/A"/>
    <s v="Pass"/>
    <x v="0"/>
    <n v="0"/>
    <m/>
    <n v="3"/>
    <n v="3"/>
    <n v="3"/>
    <n v="3"/>
    <s v="NA"/>
    <n v="3"/>
    <n v="3"/>
    <n v="2"/>
    <s v="NA"/>
    <s v="Ok ticket"/>
    <s v="Neutral"/>
    <x v="0"/>
    <s v=""/>
    <x v="2"/>
    <x v="0"/>
    <s v=""/>
    <n v="1"/>
    <x v="0"/>
    <s v=""/>
  </r>
  <r>
    <d v="2022-11-01T00:00:00"/>
    <x v="2"/>
    <x v="2"/>
    <x v="2"/>
    <x v="1"/>
    <x v="58"/>
    <x v="5"/>
    <x v="2"/>
    <s v="Resolved by Scaled TPS independently "/>
    <n v="3"/>
    <n v="3"/>
    <n v="3"/>
    <n v="3"/>
    <n v="3"/>
    <n v="3"/>
    <n v="3"/>
    <n v="3"/>
    <s v="N/A"/>
    <s v="Pass"/>
    <x v="0"/>
    <n v="0"/>
    <m/>
    <n v="3"/>
    <n v="3"/>
    <n v="3"/>
    <n v="3"/>
    <s v="NA"/>
    <s v="NA"/>
    <s v="NA"/>
    <s v="NA"/>
    <s v="NA"/>
    <s v="Still open, multiple reopens and new questions. Good comms from Rafael"/>
    <s v="Pass"/>
    <x v="0"/>
    <s v=""/>
    <x v="0"/>
    <x v="0"/>
    <s v=""/>
    <n v="1"/>
    <x v="0"/>
    <s v=""/>
  </r>
  <r>
    <d v="2022-11-01T00:00:00"/>
    <x v="2"/>
    <x v="2"/>
    <x v="2"/>
    <x v="1"/>
    <x v="59"/>
    <x v="6"/>
    <x v="2"/>
    <s v="Resolved by Scaled TPS independently "/>
    <n v="3"/>
    <n v="3"/>
    <n v="3"/>
    <n v="3"/>
    <n v="3"/>
    <n v="3"/>
    <n v="3"/>
    <n v="3"/>
    <s v="N/A"/>
    <s v="Pass"/>
    <x v="0"/>
    <n v="0"/>
    <m/>
    <n v="2"/>
    <n v="3"/>
    <n v="3"/>
    <n v="3"/>
    <s v="NA"/>
    <n v="3"/>
    <n v="3"/>
    <n v="2"/>
    <s v="NA"/>
    <s v="Wrong priority, should be P1 with $64K spend, overall correct assumptions on the issue"/>
    <s v="Neutral"/>
    <x v="0"/>
    <s v=""/>
    <x v="2"/>
    <x v="0"/>
    <s v=""/>
    <n v="1"/>
    <x v="0"/>
    <s v=""/>
  </r>
  <r>
    <d v="2022-11-06T00:00:00"/>
    <x v="2"/>
    <x v="3"/>
    <x v="3"/>
    <x v="1"/>
    <x v="60"/>
    <x v="6"/>
    <x v="1"/>
    <s v="Resolved by Scaled TPS independently "/>
    <n v="3"/>
    <n v="3"/>
    <n v="3"/>
    <n v="3"/>
    <n v="3"/>
    <n v="3"/>
    <n v="3"/>
    <n v="3"/>
    <s v="N/A"/>
    <s v="Pass"/>
    <x v="0"/>
    <n v="0"/>
    <m/>
    <n v="3"/>
    <n v="3"/>
    <n v="3"/>
    <n v="3"/>
    <s v="NA"/>
    <n v="3"/>
    <n v="3"/>
    <n v="3"/>
    <s v="NA"/>
    <s v="Ray took over ticket for Leandro (as he was OOO). Good comms"/>
    <s v="Pass"/>
    <x v="0"/>
    <s v=""/>
    <x v="0"/>
    <x v="0"/>
    <s v=""/>
    <n v="1"/>
    <x v="0"/>
    <s v=""/>
  </r>
  <r>
    <d v="2022-10-31T00:00:00"/>
    <x v="2"/>
    <x v="2"/>
    <x v="2"/>
    <x v="0"/>
    <x v="61"/>
    <x v="7"/>
    <x v="1"/>
    <s v="Resolved by Scaled TPS independently "/>
    <n v="3"/>
    <n v="3"/>
    <n v="3"/>
    <n v="3"/>
    <n v="3"/>
    <n v="3"/>
    <n v="3"/>
    <n v="3"/>
    <s v="N/A"/>
    <s v="Pass"/>
    <x v="0"/>
    <n v="0"/>
    <m/>
    <s v="NA"/>
    <n v="3"/>
    <n v="3"/>
    <n v="2"/>
    <s v="NA"/>
    <s v="NA"/>
    <n v="3"/>
    <n v="3"/>
    <s v="NA"/>
    <s v="Ok ticket"/>
    <s v="Neutral"/>
    <x v="0"/>
    <s v=""/>
    <x v="2"/>
    <x v="0"/>
    <s v=""/>
    <n v="1"/>
    <x v="0"/>
    <s v=""/>
  </r>
  <r>
    <d v="2022-10-31T00:00:00"/>
    <x v="2"/>
    <x v="2"/>
    <x v="2"/>
    <x v="0"/>
    <x v="62"/>
    <x v="7"/>
    <x v="1"/>
    <s v="Resolved by Scaled TPS independently "/>
    <n v="3"/>
    <n v="3"/>
    <n v="3"/>
    <n v="3"/>
    <n v="3"/>
    <n v="3"/>
    <n v="3"/>
    <n v="3"/>
    <s v="N/A"/>
    <s v="Pass"/>
    <x v="0"/>
    <n v="0"/>
    <m/>
    <s v="NA"/>
    <n v="3"/>
    <n v="2"/>
    <n v="1"/>
    <s v="NA"/>
    <n v="3"/>
    <n v="3"/>
    <n v="1"/>
    <s v="NA"/>
    <s v="Long pause between replies with no evident reason, need to share more frequent updates"/>
    <s v="Fail"/>
    <x v="1"/>
    <n v="1"/>
    <x v="1"/>
    <x v="1"/>
    <n v="1"/>
    <n v="1"/>
    <x v="10"/>
    <s v="Effective Inquiry , Resolution time"/>
  </r>
  <r>
    <d v="2022-11-03T00:00:00"/>
    <x v="2"/>
    <x v="2"/>
    <x v="2"/>
    <x v="1"/>
    <x v="63"/>
    <x v="8"/>
    <x v="1"/>
    <s v="Resolved by Scaled TPS independently "/>
    <n v="3"/>
    <n v="3"/>
    <n v="3"/>
    <n v="3"/>
    <n v="3"/>
    <n v="3"/>
    <n v="3"/>
    <n v="3"/>
    <s v="N/A"/>
    <s v="Pass"/>
    <x v="0"/>
    <n v="0"/>
    <m/>
    <s v="NA"/>
    <n v="3"/>
    <n v="2"/>
    <n v="3"/>
    <s v="NA"/>
    <n v="3"/>
    <n v="3"/>
    <n v="2"/>
    <s v="NA"/>
    <s v="Ok ticket"/>
    <s v="Neutral"/>
    <x v="0"/>
    <s v=""/>
    <x v="2"/>
    <x v="0"/>
    <s v=""/>
    <n v="1"/>
    <x v="0"/>
    <s v=""/>
  </r>
  <r>
    <d v="2022-11-03T00:00:00"/>
    <x v="2"/>
    <x v="2"/>
    <x v="2"/>
    <x v="1"/>
    <x v="64"/>
    <x v="8"/>
    <x v="1"/>
    <s v="Resolved by Scaled TPS independently "/>
    <n v="3"/>
    <n v="3"/>
    <n v="3"/>
    <n v="3"/>
    <n v="3"/>
    <n v="3"/>
    <n v="3"/>
    <n v="3"/>
    <s v="N/A"/>
    <s v="Pass"/>
    <x v="0"/>
    <n v="0"/>
    <m/>
    <n v="3"/>
    <n v="3"/>
    <n v="3"/>
    <n v="2"/>
    <s v="NA"/>
    <n v="2"/>
    <n v="3"/>
    <n v="1"/>
    <s v="NA"/>
    <s v="Outside of SLA due to auto-closure, but overall good comms"/>
    <s v="Fail"/>
    <x v="1"/>
    <n v="1"/>
    <x v="1"/>
    <x v="1"/>
    <n v="1"/>
    <n v="1"/>
    <x v="11"/>
    <s v="Resolution time"/>
  </r>
  <r>
    <d v="2022-10-31T00:00:00"/>
    <x v="2"/>
    <x v="2"/>
    <x v="2"/>
    <x v="0"/>
    <x v="65"/>
    <x v="9"/>
    <x v="3"/>
    <s v="Resolved by Scaled TPS independently "/>
    <n v="3"/>
    <n v="3"/>
    <n v="3"/>
    <n v="3"/>
    <n v="3"/>
    <n v="3"/>
    <n v="3"/>
    <n v="3"/>
    <s v="N/A"/>
    <s v="Pass"/>
    <x v="0"/>
    <n v="0"/>
    <m/>
    <n v="2"/>
    <n v="3"/>
    <n v="3"/>
    <n v="3"/>
    <s v="NA"/>
    <n v="3"/>
    <n v="3"/>
    <n v="3"/>
    <s v="NA"/>
    <s v="Wrong priority, should be P1 with $67K monthly spend. Other than that, solid comms"/>
    <s v="Neutral"/>
    <x v="0"/>
    <s v=""/>
    <x v="2"/>
    <x v="0"/>
    <s v=""/>
    <n v="1"/>
    <x v="0"/>
    <s v=""/>
  </r>
  <r>
    <d v="2022-11-03T00:00:00"/>
    <x v="2"/>
    <x v="2"/>
    <x v="2"/>
    <x v="1"/>
    <x v="66"/>
    <x v="9"/>
    <x v="3"/>
    <s v="Resolved by Scaled TPS independently "/>
    <n v="3"/>
    <n v="3"/>
    <n v="3"/>
    <n v="3"/>
    <n v="3"/>
    <n v="3"/>
    <n v="3"/>
    <n v="3"/>
    <s v="N/A"/>
    <s v="Pass"/>
    <x v="0"/>
    <n v="0"/>
    <m/>
    <n v="3"/>
    <n v="3"/>
    <n v="3"/>
    <n v="3"/>
    <s v="NA"/>
    <n v="3"/>
    <n v="3"/>
    <n v="1"/>
    <s v="NA"/>
    <s v="Great reasoning and explanations, RT outside SLA"/>
    <s v="Fail"/>
    <x v="1"/>
    <n v="1"/>
    <x v="1"/>
    <x v="1"/>
    <n v="1"/>
    <n v="1"/>
    <x v="12"/>
    <s v="Resolution time"/>
  </r>
  <r>
    <d v="2022-11-03T00:00:00"/>
    <x v="2"/>
    <x v="2"/>
    <x v="2"/>
    <x v="1"/>
    <x v="67"/>
    <x v="10"/>
    <x v="2"/>
    <s v="Resolved by Scaled TPS independently "/>
    <n v="3"/>
    <n v="3"/>
    <n v="3"/>
    <n v="3"/>
    <n v="3"/>
    <n v="3"/>
    <n v="3"/>
    <n v="3"/>
    <s v="N/A"/>
    <s v="Pass"/>
    <x v="0"/>
    <n v="0"/>
    <m/>
    <n v="3"/>
    <n v="3"/>
    <n v="3"/>
    <n v="3"/>
    <s v="NA"/>
    <n v="3"/>
    <n v="3"/>
    <n v="2"/>
    <s v="NA"/>
    <s v="Good ticket and great example of managing expectations"/>
    <s v="Neutral"/>
    <x v="0"/>
    <s v=""/>
    <x v="2"/>
    <x v="0"/>
    <s v=""/>
    <n v="1"/>
    <x v="0"/>
    <s v=""/>
  </r>
  <r>
    <d v="2022-11-03T00:00:00"/>
    <x v="2"/>
    <x v="2"/>
    <x v="2"/>
    <x v="1"/>
    <x v="68"/>
    <x v="10"/>
    <x v="2"/>
    <s v="Resolved by Scaled TPS independently "/>
    <n v="3"/>
    <n v="3"/>
    <n v="3"/>
    <n v="3"/>
    <n v="3"/>
    <n v="3"/>
    <n v="3"/>
    <n v="3"/>
    <s v="N/A"/>
    <s v="Pass"/>
    <x v="0"/>
    <n v="0"/>
    <m/>
    <n v="3"/>
    <n v="3"/>
    <n v="3"/>
    <n v="3"/>
    <s v="NA"/>
    <n v="3"/>
    <n v="3"/>
    <n v="3"/>
    <s v="NA"/>
    <s v="Good ticket, not much to comment"/>
    <s v="Pass"/>
    <x v="0"/>
    <s v=""/>
    <x v="0"/>
    <x v="0"/>
    <s v=""/>
    <n v="1"/>
    <x v="0"/>
    <s v=""/>
  </r>
  <r>
    <d v="2022-11-03T00:00:00"/>
    <x v="2"/>
    <x v="2"/>
    <x v="2"/>
    <x v="1"/>
    <x v="69"/>
    <x v="11"/>
    <x v="3"/>
    <s v="Resolved by Scaled TPS independently "/>
    <n v="3"/>
    <n v="3"/>
    <n v="3"/>
    <n v="3"/>
    <n v="3"/>
    <n v="3"/>
    <n v="3"/>
    <n v="3"/>
    <s v="N/A"/>
    <s v="Pass"/>
    <x v="0"/>
    <n v="0"/>
    <m/>
    <n v="1"/>
    <n v="3"/>
    <n v="3"/>
    <n v="3"/>
    <n v="3"/>
    <n v="3"/>
    <n v="3"/>
    <n v="2"/>
    <s v="NA"/>
    <s v="Wrong priority (should be P1 with over $20K spend), but good probing questions and very fast escalation and resolution"/>
    <s v="Fail"/>
    <x v="1"/>
    <n v="1"/>
    <x v="1"/>
    <x v="1"/>
    <n v="1"/>
    <n v="1"/>
    <x v="13"/>
    <s v="Priority Level"/>
  </r>
  <r>
    <d v="2022-11-02T00:00:00"/>
    <x v="2"/>
    <x v="2"/>
    <x v="2"/>
    <x v="1"/>
    <x v="70"/>
    <x v="11"/>
    <x v="3"/>
    <s v="Resolved by Scaled TPS independently "/>
    <n v="3"/>
    <n v="3"/>
    <n v="3"/>
    <n v="3"/>
    <n v="3"/>
    <n v="3"/>
    <n v="3"/>
    <n v="3"/>
    <s v="N/A"/>
    <s v="Pass"/>
    <x v="0"/>
    <n v="0"/>
    <m/>
    <n v="3"/>
    <n v="3"/>
    <n v="3"/>
    <n v="2"/>
    <s v="NA"/>
    <s v="NA"/>
    <s v="NA"/>
    <s v="NA"/>
    <s v="NA"/>
    <s v="Ticket is still open as of Wed 11/9"/>
    <s v="Neutral"/>
    <x v="0"/>
    <s v=""/>
    <x v="2"/>
    <x v="0"/>
    <s v=""/>
    <n v="1"/>
    <x v="0"/>
    <s v=""/>
  </r>
  <r>
    <d v="2022-11-02T00:00:00"/>
    <x v="2"/>
    <x v="2"/>
    <x v="2"/>
    <x v="1"/>
    <x v="71"/>
    <x v="12"/>
    <x v="0"/>
    <s v="Resolved by Scaled TPS independently "/>
    <n v="3"/>
    <n v="3"/>
    <n v="3"/>
    <n v="3"/>
    <n v="3"/>
    <n v="3"/>
    <n v="3"/>
    <n v="3"/>
    <s v="N/A"/>
    <s v="Pass"/>
    <x v="0"/>
    <n v="0"/>
    <m/>
    <s v=""/>
    <s v=""/>
    <s v=""/>
    <s v=""/>
    <s v=""/>
    <s v=""/>
    <s v=""/>
    <s v=""/>
    <s v=""/>
    <s v=""/>
    <s v="Fail"/>
    <x v="1"/>
    <n v="1"/>
    <x v="0"/>
    <x v="0"/>
    <s v=""/>
    <n v="1"/>
    <x v="0"/>
    <s v=""/>
  </r>
  <r>
    <d v="2022-11-01T00:00:00"/>
    <x v="2"/>
    <x v="2"/>
    <x v="2"/>
    <x v="1"/>
    <x v="72"/>
    <x v="12"/>
    <x v="2"/>
    <s v="Resolved by Scaled TPS independently "/>
    <n v="3"/>
    <n v="3"/>
    <n v="3"/>
    <n v="3"/>
    <n v="3"/>
    <n v="3"/>
    <n v="3"/>
    <n v="3"/>
    <s v="N/A"/>
    <s v="Pass"/>
    <x v="0"/>
    <n v="0"/>
    <m/>
    <n v="2"/>
    <n v="3"/>
    <n v="3"/>
    <n v="2"/>
    <s v="NA"/>
    <n v="3"/>
    <n v="3"/>
    <n v="3"/>
    <s v="NA"/>
    <s v="Wrong priority but good comms on the ticket"/>
    <s v="Neutral"/>
    <x v="0"/>
    <s v=""/>
    <x v="2"/>
    <x v="0"/>
    <s v=""/>
    <n v="1"/>
    <x v="0"/>
    <s v=""/>
  </r>
  <r>
    <d v="2022-11-04T00:00:00"/>
    <x v="2"/>
    <x v="2"/>
    <x v="2"/>
    <x v="1"/>
    <x v="73"/>
    <x v="13"/>
    <x v="2"/>
    <s v="Resolved by Scaled TPS independently "/>
    <n v="3"/>
    <n v="3"/>
    <n v="3"/>
    <n v="3"/>
    <n v="3"/>
    <n v="3"/>
    <n v="3"/>
    <n v="3"/>
    <s v="N/A"/>
    <s v="Pass"/>
    <x v="0"/>
    <n v="0"/>
    <m/>
    <n v="3"/>
    <n v="3"/>
    <n v="3"/>
    <n v="3"/>
    <n v="3"/>
    <n v="3"/>
    <n v="3"/>
    <n v="1"/>
    <s v="NA"/>
    <s v="Out of scope, escalated to correct channel. Should have closed manually"/>
    <s v="Fail"/>
    <x v="1"/>
    <n v="1"/>
    <x v="1"/>
    <x v="1"/>
    <n v="1"/>
    <n v="1"/>
    <x v="14"/>
    <s v="Resolution time"/>
  </r>
  <r>
    <d v="2022-11-04T00:00:00"/>
    <x v="2"/>
    <x v="2"/>
    <x v="2"/>
    <x v="1"/>
    <x v="74"/>
    <x v="13"/>
    <x v="2"/>
    <s v="Resolved by Scaled TPS independently "/>
    <n v="3"/>
    <n v="3"/>
    <n v="3"/>
    <n v="3"/>
    <n v="3"/>
    <n v="1"/>
    <n v="3"/>
    <n v="3"/>
    <s v="Accountability &amp; Ownership: Did not provide status update every 1 working day until incident is solved. (P2). Expected Follow Ups."/>
    <s v="Fail"/>
    <x v="1"/>
    <n v="1"/>
    <m/>
    <n v="3"/>
    <n v="3"/>
    <n v="3"/>
    <n v="3"/>
    <s v="NA"/>
    <n v="3"/>
    <n v="3"/>
    <n v="1"/>
    <s v="NA"/>
    <s v="Lengthy resolution, but adrressed all new questions"/>
    <s v="Fail"/>
    <x v="1"/>
    <n v="1"/>
    <x v="1"/>
    <x v="1"/>
    <n v="1"/>
    <n v="1"/>
    <x v="15"/>
    <s v="Accountability &amp; Ownership , Resolution time"/>
  </r>
  <r>
    <d v="2022-10-31T00:00:00"/>
    <x v="2"/>
    <x v="2"/>
    <x v="2"/>
    <x v="0"/>
    <x v="75"/>
    <x v="14"/>
    <x v="2"/>
    <s v="Resolved by Scaled TPS independently "/>
    <n v="3"/>
    <n v="3"/>
    <n v="3"/>
    <n v="3"/>
    <n v="3"/>
    <n v="3"/>
    <n v="3"/>
    <n v="3"/>
    <s v="N/A"/>
    <s v="Pass"/>
    <x v="0"/>
    <n v="0"/>
    <m/>
    <n v="3"/>
    <n v="3"/>
    <n v="3"/>
    <s v="NA "/>
    <s v="NA"/>
    <n v="3"/>
    <n v="3"/>
    <n v="3"/>
    <s v="NA"/>
    <s v="Good ticket. Unable to fix, but redirected to correct process with MI"/>
    <s v="Pass"/>
    <x v="0"/>
    <s v=""/>
    <x v="0"/>
    <x v="0"/>
    <s v=""/>
    <n v="1"/>
    <x v="0"/>
    <s v=""/>
  </r>
  <r>
    <d v="2022-11-01T00:00:00"/>
    <x v="2"/>
    <x v="2"/>
    <x v="2"/>
    <x v="1"/>
    <x v="76"/>
    <x v="14"/>
    <x v="2"/>
    <s v="Resolved by Scaled TPS independently "/>
    <n v="3"/>
    <n v="3"/>
    <n v="3"/>
    <n v="3"/>
    <n v="3"/>
    <n v="3"/>
    <n v="3"/>
    <n v="3"/>
    <s v="N/A"/>
    <s v="Pass"/>
    <x v="0"/>
    <n v="0"/>
    <m/>
    <n v="3"/>
    <n v="3"/>
    <n v="2"/>
    <n v="3"/>
    <s v="NA"/>
    <n v="3"/>
    <n v="3"/>
    <n v="3"/>
    <s v="NA"/>
    <s v="Good ticket"/>
    <s v="Neutral"/>
    <x v="0"/>
    <s v=""/>
    <x v="2"/>
    <x v="0"/>
    <s v=""/>
    <n v="1"/>
    <x v="0"/>
    <s v=""/>
  </r>
  <r>
    <d v="2022-11-04T00:00:00"/>
    <x v="2"/>
    <x v="2"/>
    <x v="2"/>
    <x v="1"/>
    <x v="77"/>
    <x v="15"/>
    <x v="2"/>
    <s v="Resolved by Scaled TPS independently "/>
    <n v="3"/>
    <n v="3"/>
    <n v="3"/>
    <n v="3"/>
    <n v="3"/>
    <n v="3"/>
    <n v="3"/>
    <n v="3"/>
    <s v="N/A"/>
    <s v="Pass"/>
    <x v="0"/>
    <n v="0"/>
    <m/>
    <n v="3"/>
    <n v="3"/>
    <n v="3"/>
    <n v="3"/>
    <s v="NA"/>
    <n v="3"/>
    <n v="3"/>
    <n v="3"/>
    <s v="NA"/>
    <s v="Solid ticket. Good job"/>
    <s v="Pass"/>
    <x v="0"/>
    <s v=""/>
    <x v="0"/>
    <x v="0"/>
    <s v=""/>
    <n v="1"/>
    <x v="0"/>
    <s v=""/>
  </r>
  <r>
    <d v="2022-11-03T00:00:00"/>
    <x v="2"/>
    <x v="2"/>
    <x v="2"/>
    <x v="1"/>
    <x v="78"/>
    <x v="15"/>
    <x v="3"/>
    <s v="Resolved by Scaled TPS independently "/>
    <n v="3"/>
    <n v="3"/>
    <n v="3"/>
    <n v="3"/>
    <n v="3"/>
    <n v="3"/>
    <n v="3"/>
    <n v="3"/>
    <s v="N/A"/>
    <s v="Pass"/>
    <x v="0"/>
    <n v="0"/>
    <m/>
    <n v="3"/>
    <n v="3"/>
    <n v="3"/>
    <n v="2"/>
    <s v="NA"/>
    <n v="3"/>
    <n v="3"/>
    <n v="1"/>
    <s v="NA"/>
    <s v="Resolution outside of SLA, yet TPS provided correct information and asked right probing questions"/>
    <s v="Fail"/>
    <x v="1"/>
    <n v="1"/>
    <x v="1"/>
    <x v="1"/>
    <n v="1"/>
    <n v="1"/>
    <x v="16"/>
    <s v="Resolution time"/>
  </r>
  <r>
    <d v="2022-11-03T00:00:00"/>
    <x v="3"/>
    <x v="2"/>
    <x v="2"/>
    <x v="1"/>
    <x v="79"/>
    <x v="19"/>
    <x v="4"/>
    <s v="Resolved by Scaled TPS independently "/>
    <n v="3"/>
    <n v="3"/>
    <n v="3"/>
    <n v="3"/>
    <n v="3"/>
    <n v="3"/>
    <n v="3"/>
    <n v="3"/>
    <s v="N/A"/>
    <s v="Pass"/>
    <x v="0"/>
    <n v="0"/>
    <m/>
    <n v="3"/>
    <n v="3"/>
    <n v="3"/>
    <n v="3"/>
    <s v="NA"/>
    <n v="3"/>
    <n v="3"/>
    <n v="3"/>
    <n v="3"/>
    <s v="NA"/>
    <s v="Pass"/>
    <x v="0"/>
    <s v=""/>
    <x v="0"/>
    <x v="0"/>
    <s v=""/>
    <n v="1"/>
    <x v="0"/>
    <s v=""/>
  </r>
  <r>
    <d v="2022-11-01T00:00:00"/>
    <x v="2"/>
    <x v="2"/>
    <x v="2"/>
    <x v="1"/>
    <x v="80"/>
    <x v="17"/>
    <x v="1"/>
    <s v="Resolved by Scaled TPS independently "/>
    <n v="3"/>
    <n v="3"/>
    <n v="3"/>
    <n v="3"/>
    <n v="3"/>
    <n v="3"/>
    <n v="3"/>
    <n v="3"/>
    <s v="N/A"/>
    <s v="Pass"/>
    <x v="0"/>
    <n v="0"/>
    <m/>
    <n v="3"/>
    <n v="3"/>
    <n v="3"/>
    <n v="3"/>
    <s v="NA"/>
    <s v="NA"/>
    <n v="2"/>
    <n v="3"/>
    <s v="NA"/>
    <s v="Good troubleshooting, might have given more time for the follow up before manually closing"/>
    <s v="Neutral"/>
    <x v="0"/>
    <s v=""/>
    <x v="2"/>
    <x v="0"/>
    <s v=""/>
    <n v="1"/>
    <x v="0"/>
    <s v=""/>
  </r>
  <r>
    <d v="2022-11-03T00:00:00"/>
    <x v="2"/>
    <x v="2"/>
    <x v="2"/>
    <x v="1"/>
    <x v="81"/>
    <x v="17"/>
    <x v="1"/>
    <s v="Resolved by Scaled TPS independently "/>
    <n v="3"/>
    <n v="3"/>
    <n v="3"/>
    <n v="3"/>
    <n v="3"/>
    <n v="3"/>
    <n v="3"/>
    <n v="3"/>
    <s v="N/A"/>
    <s v="Pass"/>
    <x v="0"/>
    <n v="0"/>
    <m/>
    <n v="3"/>
    <n v="3"/>
    <n v="3"/>
    <n v="3"/>
    <s v="NA"/>
    <n v="3"/>
    <n v="3"/>
    <n v="3"/>
    <s v="NA"/>
    <s v="Good probing questions and troubleshooting"/>
    <s v="Pass"/>
    <x v="0"/>
    <s v=""/>
    <x v="0"/>
    <x v="0"/>
    <s v=""/>
    <n v="1"/>
    <x v="0"/>
    <s v=""/>
  </r>
  <r>
    <d v="2022-11-04T00:00:00"/>
    <x v="2"/>
    <x v="2"/>
    <x v="2"/>
    <x v="1"/>
    <x v="82"/>
    <x v="18"/>
    <x v="2"/>
    <s v="Resolved by Scaled TPS independently "/>
    <n v="3"/>
    <n v="3"/>
    <n v="3"/>
    <n v="3"/>
    <n v="3"/>
    <n v="3"/>
    <n v="3"/>
    <n v="3"/>
    <s v="N/A"/>
    <s v="Pass"/>
    <x v="0"/>
    <n v="0"/>
    <m/>
    <n v="3"/>
    <n v="3"/>
    <n v="3"/>
    <n v="2"/>
    <s v="NA"/>
    <n v="3"/>
    <n v="3"/>
    <n v="3"/>
    <s v="NA"/>
    <s v="Normal ticket, nothing special"/>
    <s v="Neutral"/>
    <x v="0"/>
    <s v=""/>
    <x v="2"/>
    <x v="0"/>
    <s v=""/>
    <n v="1"/>
    <x v="0"/>
    <s v=""/>
  </r>
  <r>
    <d v="2022-11-01T00:00:00"/>
    <x v="2"/>
    <x v="2"/>
    <x v="2"/>
    <x v="1"/>
    <x v="83"/>
    <x v="18"/>
    <x v="3"/>
    <s v="Resolved by Scaled TPS independently "/>
    <n v="3"/>
    <n v="3"/>
    <n v="3"/>
    <n v="3"/>
    <n v="3"/>
    <n v="3"/>
    <n v="3"/>
    <n v="3"/>
    <s v="N/A"/>
    <s v="Pass"/>
    <x v="0"/>
    <n v="0"/>
    <m/>
    <n v="3"/>
    <n v="3"/>
    <n v="3"/>
    <n v="2"/>
    <s v="NA"/>
    <n v="3"/>
    <n v="3"/>
    <n v="2"/>
    <s v="NA"/>
    <s v="Good ticket with relevant explanation. Issue wasn't fixed, but Grant did a good job addressing additional questions"/>
    <s v="Neutral"/>
    <x v="0"/>
    <s v=""/>
    <x v="2"/>
    <x v="0"/>
    <s v=""/>
    <n v="1"/>
    <x v="0"/>
    <s v=""/>
  </r>
  <r>
    <d v="2022-11-02T00:00:00"/>
    <x v="1"/>
    <x v="2"/>
    <x v="2"/>
    <x v="1"/>
    <x v="84"/>
    <x v="1"/>
    <x v="1"/>
    <s v="Resolved by Scaled TPS independently "/>
    <n v="3"/>
    <n v="3"/>
    <n v="3"/>
    <n v="3"/>
    <n v="3"/>
    <n v="3"/>
    <n v="3"/>
    <n v="3"/>
    <s v="N/A"/>
    <s v="Pass"/>
    <x v="0"/>
    <n v="0"/>
    <m/>
    <n v="3"/>
    <n v="3"/>
    <n v="3"/>
    <n v="3"/>
    <s v="NA"/>
    <n v="3"/>
    <n v="3"/>
    <n v="3"/>
    <s v="NA"/>
    <s v="NA"/>
    <s v="Pass"/>
    <x v="0"/>
    <s v=""/>
    <x v="0"/>
    <x v="0"/>
    <s v=""/>
    <n v="1"/>
    <x v="0"/>
    <s v=""/>
  </r>
  <r>
    <d v="2022-10-31T00:00:00"/>
    <x v="1"/>
    <x v="2"/>
    <x v="2"/>
    <x v="0"/>
    <x v="85"/>
    <x v="1"/>
    <x v="2"/>
    <s v="Resolved by Scaled TPS independently "/>
    <n v="3"/>
    <n v="3"/>
    <n v="3"/>
    <n v="3"/>
    <n v="3"/>
    <n v="3"/>
    <n v="3"/>
    <n v="3"/>
    <s v="N/A"/>
    <s v="Pass"/>
    <x v="0"/>
    <n v="0"/>
    <m/>
    <n v="3"/>
    <n v="3"/>
    <n v="3"/>
    <n v="3"/>
    <s v="NA"/>
    <n v="3"/>
    <n v="3"/>
    <n v="3"/>
    <s v="NA"/>
    <s v="NA"/>
    <s v="Pass"/>
    <x v="0"/>
    <s v=""/>
    <x v="0"/>
    <x v="0"/>
    <s v=""/>
    <n v="1"/>
    <x v="0"/>
    <s v=""/>
  </r>
  <r>
    <d v="2022-11-02T00:00:00"/>
    <x v="1"/>
    <x v="2"/>
    <x v="2"/>
    <x v="1"/>
    <x v="86"/>
    <x v="2"/>
    <x v="2"/>
    <s v="Resolved by Scaled TPS independently "/>
    <n v="3"/>
    <n v="3"/>
    <n v="3"/>
    <n v="3"/>
    <n v="3"/>
    <n v="3"/>
    <n v="3"/>
    <n v="3"/>
    <s v="N/A"/>
    <s v="Pass"/>
    <x v="0"/>
    <n v="0"/>
    <m/>
    <n v="3"/>
    <n v="3"/>
    <n v="3"/>
    <n v="3"/>
    <s v="NA"/>
    <n v="3"/>
    <n v="3"/>
    <n v="3"/>
    <s v="NA"/>
    <s v="NA"/>
    <s v="Pass"/>
    <x v="0"/>
    <s v=""/>
    <x v="0"/>
    <x v="0"/>
    <s v=""/>
    <n v="1"/>
    <x v="0"/>
    <s v=""/>
  </r>
  <r>
    <d v="2022-11-01T00:00:00"/>
    <x v="1"/>
    <x v="2"/>
    <x v="2"/>
    <x v="1"/>
    <x v="87"/>
    <x v="2"/>
    <x v="0"/>
    <s v="Resolved by Scaled TPS independently "/>
    <n v="3"/>
    <n v="3"/>
    <n v="3"/>
    <n v="3"/>
    <n v="3"/>
    <n v="3"/>
    <n v="3"/>
    <n v="3"/>
    <s v="N/A"/>
    <s v="Pass"/>
    <x v="0"/>
    <n v="0"/>
    <m/>
    <s v=""/>
    <s v=""/>
    <s v=""/>
    <s v=""/>
    <s v=""/>
    <s v=""/>
    <s v=""/>
    <s v=""/>
    <s v=""/>
    <s v=""/>
    <s v="Fail"/>
    <x v="1"/>
    <n v="1"/>
    <x v="0"/>
    <x v="0"/>
    <s v=""/>
    <n v="1"/>
    <x v="0"/>
    <s v=""/>
  </r>
  <r>
    <d v="2022-11-04T00:00:00"/>
    <x v="1"/>
    <x v="2"/>
    <x v="2"/>
    <x v="1"/>
    <x v="88"/>
    <x v="3"/>
    <x v="2"/>
    <s v="Resolved by Scaled TPS independently "/>
    <n v="3"/>
    <n v="3"/>
    <n v="3"/>
    <n v="3"/>
    <n v="3"/>
    <n v="1"/>
    <n v="3"/>
    <n v="3"/>
    <s v="Accountability &amp; Ownership: Did not provide status update every 1 working day until incident is solved. (P2). Expected Follow Ups."/>
    <s v="Fail"/>
    <x v="1"/>
    <n v="1"/>
    <m/>
    <n v="3"/>
    <n v="3"/>
    <n v="3"/>
    <n v="3"/>
    <s v="NA"/>
    <n v="3"/>
    <n v="3"/>
    <n v="3"/>
    <s v="NA"/>
    <s v="NA"/>
    <s v="Pass"/>
    <x v="0"/>
    <s v=""/>
    <x v="1"/>
    <x v="1"/>
    <n v="1"/>
    <n v="1"/>
    <x v="17"/>
    <s v="Accountability &amp; Ownership"/>
  </r>
  <r>
    <d v="2022-11-01T00:00:00"/>
    <x v="1"/>
    <x v="2"/>
    <x v="2"/>
    <x v="1"/>
    <x v="89"/>
    <x v="3"/>
    <x v="1"/>
    <s v="Resolved by Scaled TPS independently "/>
    <n v="3"/>
    <n v="3"/>
    <n v="3"/>
    <n v="3"/>
    <n v="3"/>
    <n v="3"/>
    <n v="3"/>
    <n v="3"/>
    <s v="N/A"/>
    <s v="Pass"/>
    <x v="0"/>
    <n v="0"/>
    <m/>
    <n v="3"/>
    <n v="3"/>
    <n v="3"/>
    <n v="3"/>
    <s v="NA"/>
    <n v="3"/>
    <n v="3"/>
    <n v="3"/>
    <s v="NA"/>
    <s v="NA"/>
    <s v="Pass"/>
    <x v="0"/>
    <s v=""/>
    <x v="0"/>
    <x v="0"/>
    <s v=""/>
    <n v="1"/>
    <x v="0"/>
    <s v=""/>
  </r>
  <r>
    <d v="2022-11-04T00:00:00"/>
    <x v="3"/>
    <x v="2"/>
    <x v="2"/>
    <x v="1"/>
    <x v="90"/>
    <x v="19"/>
    <x v="2"/>
    <s v="Resolved by Scaled TPS independently "/>
    <n v="3"/>
    <n v="3"/>
    <n v="3"/>
    <n v="3"/>
    <n v="3"/>
    <n v="3"/>
    <n v="3"/>
    <n v="3"/>
    <s v="N/A"/>
    <s v="Pass"/>
    <x v="0"/>
    <n v="0"/>
    <m/>
    <n v="3"/>
    <n v="3"/>
    <n v="3"/>
    <n v="3"/>
    <s v="NA"/>
    <n v="2"/>
    <n v="3"/>
    <n v="3"/>
    <s v="NA"/>
    <s v="Your first answer seems quite generic and doesn't really give a solution to the user. Always try to think, &quot;what do I want the user to do after reading this message?&quot;"/>
    <s v="Neutral"/>
    <x v="0"/>
    <s v=""/>
    <x v="2"/>
    <x v="0"/>
    <s v=""/>
    <n v="1"/>
    <x v="0"/>
    <s v=""/>
  </r>
  <r>
    <d v="2022-11-02T00:00:00"/>
    <x v="3"/>
    <x v="2"/>
    <x v="2"/>
    <x v="1"/>
    <x v="91"/>
    <x v="20"/>
    <x v="3"/>
    <s v="Resolved by Scaled TPS independently "/>
    <n v="3"/>
    <n v="3"/>
    <n v="3"/>
    <n v="3"/>
    <n v="3"/>
    <n v="3"/>
    <n v="3"/>
    <n v="3"/>
    <s v="N/A"/>
    <s v="Pass"/>
    <x v="0"/>
    <n v="0"/>
    <m/>
    <n v="3"/>
    <n v="3"/>
    <n v="3"/>
    <n v="3"/>
    <s v="NA"/>
    <n v="3"/>
    <n v="3"/>
    <n v="3"/>
    <s v="NA"/>
    <s v="NA"/>
    <s v="Pass"/>
    <x v="0"/>
    <s v=""/>
    <x v="0"/>
    <x v="0"/>
    <s v=""/>
    <n v="1"/>
    <x v="0"/>
    <s v=""/>
  </r>
  <r>
    <d v="2022-11-04T00:00:00"/>
    <x v="3"/>
    <x v="2"/>
    <x v="2"/>
    <x v="1"/>
    <x v="92"/>
    <x v="20"/>
    <x v="4"/>
    <s v="Resolved by Scaled TPS independently "/>
    <n v="3"/>
    <n v="3"/>
    <n v="3"/>
    <n v="3"/>
    <n v="3"/>
    <n v="1"/>
    <n v="3"/>
    <n v="3"/>
    <s v="Accountability &amp; Ownership: Did not provide status update every 1 working day until incident is solved. (P2). Expected Follow Ups."/>
    <s v="Fail"/>
    <x v="1"/>
    <n v="1"/>
    <m/>
    <n v="3"/>
    <n v="3"/>
    <n v="3"/>
    <n v="3"/>
    <s v="NA"/>
    <n v="3"/>
    <n v="3"/>
    <n v="3"/>
    <s v="NA"/>
    <s v="NA"/>
    <s v="Pass"/>
    <x v="0"/>
    <s v=""/>
    <x v="1"/>
    <x v="1"/>
    <n v="1"/>
    <n v="1"/>
    <x v="18"/>
    <s v="Accountability &amp; Ownership"/>
  </r>
  <r>
    <d v="2022-11-04T00:00:00"/>
    <x v="3"/>
    <x v="2"/>
    <x v="2"/>
    <x v="1"/>
    <x v="93"/>
    <x v="21"/>
    <x v="1"/>
    <s v="Resolved by Scaled TPS independently "/>
    <n v="3"/>
    <n v="3"/>
    <n v="3"/>
    <n v="3"/>
    <n v="3"/>
    <n v="3"/>
    <n v="3"/>
    <n v="3"/>
    <s v="N/A"/>
    <s v="Pass"/>
    <x v="0"/>
    <n v="0"/>
    <m/>
    <n v="3"/>
    <n v="3"/>
    <n v="3"/>
    <n v="3"/>
    <s v="NA"/>
    <n v="3"/>
    <n v="3"/>
    <n v="3"/>
    <s v="NA"/>
    <s v="NA"/>
    <s v="Pass"/>
    <x v="0"/>
    <s v=""/>
    <x v="0"/>
    <x v="0"/>
    <s v=""/>
    <n v="1"/>
    <x v="0"/>
    <s v=""/>
  </r>
  <r>
    <d v="2022-11-04T00:00:00"/>
    <x v="3"/>
    <x v="2"/>
    <x v="2"/>
    <x v="1"/>
    <x v="94"/>
    <x v="21"/>
    <x v="1"/>
    <s v="Resolved by Scaled TPS independently "/>
    <n v="3"/>
    <n v="3"/>
    <n v="3"/>
    <n v="3"/>
    <n v="3"/>
    <n v="3"/>
    <n v="3"/>
    <n v="3"/>
    <s v="N/A"/>
    <s v="Pass"/>
    <x v="0"/>
    <n v="0"/>
    <m/>
    <n v="3"/>
    <n v="3"/>
    <n v="3"/>
    <n v="3"/>
    <s v="NA"/>
    <n v="3"/>
    <n v="3"/>
    <n v="3"/>
    <s v="NA"/>
    <s v="NA"/>
    <s v="Pass"/>
    <x v="0"/>
    <s v=""/>
    <x v="0"/>
    <x v="0"/>
    <s v=""/>
    <n v="1"/>
    <x v="0"/>
    <s v=""/>
  </r>
  <r>
    <d v="2022-11-01T00:00:00"/>
    <x v="3"/>
    <x v="2"/>
    <x v="2"/>
    <x v="1"/>
    <x v="95"/>
    <x v="22"/>
    <x v="1"/>
    <s v="Escalated to Global TPS "/>
    <n v="3"/>
    <n v="3"/>
    <n v="3"/>
    <n v="3"/>
    <n v="3"/>
    <n v="3"/>
    <n v="3"/>
    <n v="3"/>
    <s v="N/A"/>
    <s v="Pass"/>
    <x v="0"/>
    <n v="0"/>
    <m/>
    <n v="3"/>
    <n v="3"/>
    <n v="3"/>
    <n v="3"/>
    <s v="NA"/>
    <n v="3"/>
    <n v="3"/>
    <n v="3"/>
    <s v="NA"/>
    <s v="NA"/>
    <s v="Pass"/>
    <x v="0"/>
    <s v=""/>
    <x v="0"/>
    <x v="0"/>
    <s v=""/>
    <n v="1"/>
    <x v="0"/>
    <s v=""/>
  </r>
  <r>
    <d v="2022-10-31T00:00:00"/>
    <x v="3"/>
    <x v="2"/>
    <x v="2"/>
    <x v="0"/>
    <x v="96"/>
    <x v="22"/>
    <x v="2"/>
    <s v="Resolved by Scaled TPS independently "/>
    <n v="3"/>
    <n v="3"/>
    <n v="3"/>
    <n v="3"/>
    <n v="3"/>
    <n v="3"/>
    <n v="3"/>
    <n v="3"/>
    <s v="N/A"/>
    <s v="Pass"/>
    <x v="0"/>
    <n v="0"/>
    <m/>
    <n v="3"/>
    <n v="3"/>
    <n v="3"/>
    <n v="3"/>
    <s v="NA"/>
    <n v="3"/>
    <n v="3"/>
    <n v="3"/>
    <s v="NA"/>
    <s v="NA"/>
    <s v="Pass"/>
    <x v="0"/>
    <s v=""/>
    <x v="0"/>
    <x v="0"/>
    <s v=""/>
    <n v="1"/>
    <x v="0"/>
    <s v=""/>
  </r>
  <r>
    <d v="2022-11-04T00:00:00"/>
    <x v="0"/>
    <x v="2"/>
    <x v="2"/>
    <x v="1"/>
    <x v="97"/>
    <x v="0"/>
    <x v="2"/>
    <s v="Resolved by Scaled TPS independently "/>
    <n v="3"/>
    <n v="3"/>
    <n v="3"/>
    <n v="3"/>
    <n v="3"/>
    <n v="3"/>
    <n v="3"/>
    <n v="3"/>
    <s v="N/A"/>
    <s v="Pass"/>
    <x v="0"/>
    <n v="0"/>
    <m/>
    <n v="3"/>
    <n v="3"/>
    <n v="3"/>
    <n v="3"/>
    <n v="3"/>
    <n v="3"/>
    <n v="3"/>
    <n v="3"/>
    <s v="NA"/>
    <s v="Another great ticket - profession comms and strong responses that have been well thought."/>
    <s v="Pass"/>
    <x v="0"/>
    <s v=""/>
    <x v="0"/>
    <x v="0"/>
    <s v=""/>
    <n v="1"/>
    <x v="0"/>
    <s v=""/>
  </r>
  <r>
    <d v="2022-11-03T00:00:00"/>
    <x v="0"/>
    <x v="2"/>
    <x v="2"/>
    <x v="1"/>
    <x v="98"/>
    <x v="0"/>
    <x v="3"/>
    <s v="Resolved by Scaled TPS independently "/>
    <n v="3"/>
    <n v="3"/>
    <n v="3"/>
    <n v="3"/>
    <n v="3"/>
    <n v="3"/>
    <n v="3"/>
    <n v="3"/>
    <s v="N/A"/>
    <s v="Pass"/>
    <x v="0"/>
    <n v="0"/>
    <m/>
    <n v="3"/>
    <n v="3"/>
    <n v="3"/>
    <n v="3"/>
    <s v="NA"/>
    <n v="3"/>
    <n v="3"/>
    <n v="3"/>
    <s v="NA"/>
    <s v="Excellent ticket - Very clear comms, quick FR and follow up.  Very comprehensive first response and product knowledge - which was acknowledged by the escalator._x000a_TPS handle the additional question/issue well.  Nice work!"/>
    <s v="Pass"/>
    <x v="0"/>
    <s v=""/>
    <x v="0"/>
    <x v="0"/>
    <s v=""/>
    <n v="1"/>
    <x v="0"/>
    <s v=""/>
  </r>
  <r>
    <d v="2022-10-31T00:00:00"/>
    <x v="0"/>
    <x v="2"/>
    <x v="2"/>
    <x v="0"/>
    <x v="99"/>
    <x v="23"/>
    <x v="1"/>
    <s v="Resolved by Scaled TPS independently "/>
    <n v="3"/>
    <n v="3"/>
    <n v="3"/>
    <n v="3"/>
    <n v="3"/>
    <n v="3"/>
    <n v="3"/>
    <n v="3"/>
    <s v="N/A"/>
    <s v="Pass"/>
    <x v="0"/>
    <n v="0"/>
    <m/>
    <n v="3"/>
    <n v="3"/>
    <n v="3"/>
    <n v="3"/>
    <s v="NA"/>
    <n v="3"/>
    <n v="3"/>
    <n v="3"/>
    <n v="2"/>
    <s v="Good ticket, clean and professional comms - backed with Visuals.  Product knowledge looks good. _x000a_Very quick IR and regular follow ups. Feedback:  I see TPS added response as internal note and took a while before sending. But still within SLA  I assume Prakash checked answer with Global TPS?  If so, best to add an internal comment."/>
    <s v="Neutral"/>
    <x v="0"/>
    <s v=""/>
    <x v="2"/>
    <x v="0"/>
    <s v=""/>
    <n v="1"/>
    <x v="0"/>
    <s v=""/>
  </r>
  <r>
    <d v="2022-11-01T00:00:00"/>
    <x v="0"/>
    <x v="2"/>
    <x v="2"/>
    <x v="1"/>
    <x v="100"/>
    <x v="23"/>
    <x v="1"/>
    <s v="Resolved by Scaled TPS independently "/>
    <n v="3"/>
    <n v="3"/>
    <n v="3"/>
    <n v="3"/>
    <n v="3"/>
    <n v="3"/>
    <n v="3"/>
    <n v="3"/>
    <s v="N/A"/>
    <s v="Pass"/>
    <x v="0"/>
    <n v="0"/>
    <m/>
    <n v="3"/>
    <n v="3"/>
    <n v="3"/>
    <n v="3"/>
    <s v="NA"/>
    <n v="3"/>
    <n v="3"/>
    <n v="3"/>
    <s v="NA"/>
    <s v="Quick FR and clean comms.  Polite and professional comms style.  Very fast follow ups.  Good probing of the issue"/>
    <s v="Pass"/>
    <x v="0"/>
    <s v=""/>
    <x v="0"/>
    <x v="0"/>
    <s v=""/>
    <n v="1"/>
    <x v="0"/>
    <s v=""/>
  </r>
  <r>
    <d v="2022-11-03T00:00:00"/>
    <x v="0"/>
    <x v="2"/>
    <x v="2"/>
    <x v="1"/>
    <x v="101"/>
    <x v="24"/>
    <x v="4"/>
    <s v="Resolved by Scaled TPS independently "/>
    <n v="3"/>
    <n v="3"/>
    <n v="3"/>
    <n v="3"/>
    <n v="3"/>
    <n v="3"/>
    <n v="3"/>
    <n v="3"/>
    <s v="N/A"/>
    <s v="Pass"/>
    <x v="0"/>
    <n v="0"/>
    <m/>
    <n v="3"/>
    <n v="3"/>
    <n v="3"/>
    <n v="3"/>
    <s v="NA"/>
    <n v="3"/>
    <n v="3"/>
    <n v="3"/>
    <s v="NA"/>
    <s v="Quick FR and clean comms.  Very fast follow ups."/>
    <s v="Pass"/>
    <x v="0"/>
    <s v=""/>
    <x v="0"/>
    <x v="0"/>
    <s v=""/>
    <n v="1"/>
    <x v="0"/>
    <s v=""/>
  </r>
  <r>
    <d v="2022-10-31T00:00:00"/>
    <x v="0"/>
    <x v="2"/>
    <x v="2"/>
    <x v="0"/>
    <x v="102"/>
    <x v="24"/>
    <x v="2"/>
    <s v="Resolved by Scaled TPS independently "/>
    <n v="3"/>
    <n v="3"/>
    <n v="3"/>
    <n v="3"/>
    <n v="3"/>
    <n v="3"/>
    <n v="3"/>
    <n v="3"/>
    <s v="N/A"/>
    <s v="Pass"/>
    <x v="0"/>
    <n v="0"/>
    <m/>
    <n v="3"/>
    <n v="3"/>
    <n v="3"/>
    <n v="3"/>
    <n v="3"/>
    <n v="3"/>
    <n v="3"/>
    <n v="3"/>
    <n v="3"/>
    <s v="Nice example of Probing questions - TPS did well in trying to get a much information as possible before escalating.  Clear internal comment provide before escalation._x000a_Good product knowledge and situation understanding - did not rush to escalate."/>
    <s v="Pass"/>
    <x v="0"/>
    <s v=""/>
    <x v="0"/>
    <x v="0"/>
    <s v=""/>
    <n v="1"/>
    <x v="0"/>
    <s v=""/>
  </r>
  <r>
    <d v="2022-11-03T00:00:00"/>
    <x v="0"/>
    <x v="2"/>
    <x v="2"/>
    <x v="1"/>
    <x v="103"/>
    <x v="25"/>
    <x v="4"/>
    <s v="Resolved by Scaled TPS independently "/>
    <n v="3"/>
    <n v="3"/>
    <n v="3"/>
    <n v="3"/>
    <n v="3"/>
    <n v="3"/>
    <n v="3"/>
    <n v="3"/>
    <s v="N/A"/>
    <s v="Pass"/>
    <x v="0"/>
    <n v="0"/>
    <m/>
    <n v="3"/>
    <n v="3"/>
    <n v="3"/>
    <n v="3"/>
    <s v="NA"/>
    <n v="3"/>
    <n v="3"/>
    <n v="3"/>
    <s v="NA"/>
    <s v="Good ticket, Few grammer mistakes but Fast FR and very quick follow ups.  Good Product knowledge and supported answers with commdocs.  TPS provided alternative solutions and maintained postive tone."/>
    <s v="Pass"/>
    <x v="0"/>
    <s v=""/>
    <x v="0"/>
    <x v="0"/>
    <s v=""/>
    <n v="1"/>
    <x v="0"/>
    <s v=""/>
  </r>
  <r>
    <d v="2022-11-01T00:00:00"/>
    <x v="0"/>
    <x v="2"/>
    <x v="2"/>
    <x v="1"/>
    <x v="104"/>
    <x v="25"/>
    <x v="2"/>
    <s v="Resolved by Scaled TPS independently "/>
    <n v="3"/>
    <n v="3"/>
    <n v="3"/>
    <n v="3"/>
    <n v="3"/>
    <n v="3"/>
    <n v="3"/>
    <n v="3"/>
    <s v="N/A"/>
    <s v="Pass"/>
    <x v="0"/>
    <n v="0"/>
    <m/>
    <n v="3"/>
    <n v="3"/>
    <n v="3"/>
    <n v="3"/>
    <s v="NA"/>
    <n v="2"/>
    <n v="3"/>
    <n v="3"/>
    <s v="NA"/>
    <s v="Ok Ticket - A few grammar mistakes but nothing major.  Emmanual provided the right advice to escalate to MI, however he should have provided the Commdoc to support his answer._x000a_Giving Neutral as the answer was right but could be improved."/>
    <s v="Neutral"/>
    <x v="0"/>
    <s v=""/>
    <x v="2"/>
    <x v="0"/>
    <s v=""/>
    <n v="1"/>
    <x v="0"/>
    <s v=""/>
  </r>
  <r>
    <d v="2022-11-01T00:00:00"/>
    <x v="0"/>
    <x v="2"/>
    <x v="2"/>
    <x v="1"/>
    <x v="105"/>
    <x v="26"/>
    <x v="3"/>
    <s v="Escalated to Global TPS "/>
    <n v="3"/>
    <n v="3"/>
    <n v="3"/>
    <n v="3"/>
    <n v="3"/>
    <n v="3"/>
    <n v="3"/>
    <n v="3"/>
    <s v="N/A"/>
    <s v="Pass"/>
    <x v="0"/>
    <n v="0"/>
    <m/>
    <n v="3"/>
    <n v="3"/>
    <n v="3"/>
    <n v="3"/>
    <s v="NA"/>
    <n v="3"/>
    <n v="3"/>
    <n v="3"/>
    <n v="3"/>
    <s v="Great ticket: Professional and polite comms, good use of visuals to back up responses.  Good product knowledge regarding audiences and estimation tool.  Regular follow ups - smooth investigation"/>
    <s v="Pass"/>
    <x v="0"/>
    <s v=""/>
    <x v="0"/>
    <x v="0"/>
    <s v=""/>
    <n v="1"/>
    <x v="0"/>
    <s v=""/>
  </r>
  <r>
    <d v="2022-11-03T00:00:00"/>
    <x v="0"/>
    <x v="2"/>
    <x v="2"/>
    <x v="1"/>
    <x v="106"/>
    <x v="26"/>
    <x v="3"/>
    <s v="Resolved by Scaled TPS independently "/>
    <n v="3"/>
    <n v="3"/>
    <n v="3"/>
    <n v="3"/>
    <n v="3"/>
    <n v="3"/>
    <n v="3"/>
    <n v="3"/>
    <s v="N/A"/>
    <s v="Pass"/>
    <x v="0"/>
    <n v="0"/>
    <m/>
    <n v="3"/>
    <n v="3"/>
    <n v="3"/>
    <n v="3"/>
    <s v="NA"/>
    <n v="3"/>
    <n v="3"/>
    <n v="3"/>
    <s v="NA"/>
    <s v="Good ticket: Super Fast IR and quick follows.  Efficient communication and clear/direct solution and recommendation.  Ticket was not reopened and correct use of Auto-closure._x000a_Feedback - Final comment abit direct but nothing major."/>
    <s v="Pass"/>
    <x v="0"/>
    <s v=""/>
    <x v="0"/>
    <x v="0"/>
    <s v=""/>
    <n v="1"/>
    <x v="0"/>
    <s v=""/>
  </r>
  <r>
    <d v="2022-10-31T00:00:00"/>
    <x v="0"/>
    <x v="2"/>
    <x v="2"/>
    <x v="0"/>
    <x v="107"/>
    <x v="27"/>
    <x v="3"/>
    <s v="Escalated to Global TPS "/>
    <n v="3"/>
    <n v="3"/>
    <n v="3"/>
    <n v="3"/>
    <n v="3"/>
    <n v="3"/>
    <n v="3"/>
    <n v="3"/>
    <s v="N/A"/>
    <s v="Pass"/>
    <x v="0"/>
    <n v="0"/>
    <m/>
    <n v="3"/>
    <n v="3"/>
    <n v="3"/>
    <n v="3"/>
    <s v="NA"/>
    <n v="3"/>
    <n v="3"/>
    <n v="3"/>
    <s v="NA"/>
    <s v="TPS to double check responses - Mentioned the TPS name (falls under CX).  Quick responses and Follow ups (within SLA).   Good use of Screenshots to support resolution."/>
    <s v="Pass"/>
    <x v="0"/>
    <s v=""/>
    <x v="0"/>
    <x v="0"/>
    <s v=""/>
    <n v="1"/>
    <x v="0"/>
    <s v=""/>
  </r>
  <r>
    <d v="2022-11-04T00:00:00"/>
    <x v="0"/>
    <x v="2"/>
    <x v="2"/>
    <x v="1"/>
    <x v="108"/>
    <x v="27"/>
    <x v="3"/>
    <s v="Resolved by Scaled TPS independently "/>
    <n v="3"/>
    <n v="3"/>
    <n v="3"/>
    <n v="3"/>
    <n v="3"/>
    <n v="3"/>
    <n v="3"/>
    <n v="3"/>
    <s v="N/A"/>
    <s v="Pass"/>
    <x v="0"/>
    <n v="0"/>
    <m/>
    <n v="3"/>
    <n v="3"/>
    <n v="3"/>
    <n v="2"/>
    <s v="NA"/>
    <n v="3"/>
    <n v="3"/>
    <n v="3"/>
    <n v="3"/>
    <s v="Very good comms, quick responses and follow up.  Effective inquiry could have been smoother in this case and TPS should have mentioned app retargeting as part of solution.  Good use of visual and Commdocs for support"/>
    <s v="Neutral"/>
    <x v="0"/>
    <s v=""/>
    <x v="2"/>
    <x v="0"/>
    <s v=""/>
    <n v="1"/>
    <x v="0"/>
    <s v=""/>
  </r>
  <r>
    <d v="2022-11-08T00:00:00"/>
    <x v="2"/>
    <x v="3"/>
    <x v="3"/>
    <x v="1"/>
    <x v="109"/>
    <x v="4"/>
    <x v="1"/>
    <s v="Resolved by Scaled TPS independently "/>
    <n v="3"/>
    <n v="3"/>
    <n v="3"/>
    <n v="3"/>
    <n v="3"/>
    <n v="3"/>
    <n v="3"/>
    <n v="3"/>
    <s v="N/A"/>
    <s v="Pass"/>
    <x v="0"/>
    <n v="0"/>
    <m/>
    <n v="3"/>
    <n v="3"/>
    <n v="3"/>
    <n v="3"/>
    <s v="NA"/>
    <n v="3"/>
    <n v="3"/>
    <n v="2"/>
    <s v="NA"/>
    <s v="Above SLA RT, but good comms and explanations"/>
    <s v="Neutral"/>
    <x v="0"/>
    <s v=""/>
    <x v="2"/>
    <x v="0"/>
    <s v=""/>
    <n v="1"/>
    <x v="0"/>
    <s v=""/>
  </r>
  <r>
    <d v="2022-11-08T00:00:00"/>
    <x v="2"/>
    <x v="3"/>
    <x v="3"/>
    <x v="1"/>
    <x v="110"/>
    <x v="4"/>
    <x v="2"/>
    <s v="Resolved by Scaled TPS independently "/>
    <n v="3"/>
    <n v="3"/>
    <n v="3"/>
    <n v="3"/>
    <n v="3"/>
    <n v="3"/>
    <n v="3"/>
    <n v="3"/>
    <s v="N/A"/>
    <s v="Pass"/>
    <x v="0"/>
    <n v="0"/>
    <m/>
    <n v="3"/>
    <n v="3"/>
    <n v="3"/>
    <n v="3"/>
    <s v="NA"/>
    <n v="2"/>
    <n v="3"/>
    <n v="3"/>
    <s v="NA"/>
    <s v="Good ticket"/>
    <s v="Neutral"/>
    <x v="0"/>
    <s v=""/>
    <x v="2"/>
    <x v="0"/>
    <s v=""/>
    <n v="1"/>
    <x v="0"/>
    <s v=""/>
  </r>
  <r>
    <d v="2022-11-09T00:00:00"/>
    <x v="2"/>
    <x v="3"/>
    <x v="3"/>
    <x v="1"/>
    <x v="111"/>
    <x v="5"/>
    <x v="2"/>
    <s v="Resolved by Scaled TPS independently "/>
    <n v="3"/>
    <n v="3"/>
    <n v="3"/>
    <n v="3"/>
    <n v="3"/>
    <n v="3"/>
    <n v="3"/>
    <n v="3"/>
    <s v="N/A"/>
    <s v="Pass"/>
    <x v="0"/>
    <n v="0"/>
    <m/>
    <n v="3"/>
    <n v="3"/>
    <n v="3"/>
    <n v="2"/>
    <n v="3"/>
    <s v="NA"/>
    <s v="NA"/>
    <s v="NA"/>
    <n v="3"/>
    <s v="Ticket is still open"/>
    <s v="Neutral"/>
    <x v="0"/>
    <s v=""/>
    <x v="2"/>
    <x v="0"/>
    <s v=""/>
    <n v="1"/>
    <x v="0"/>
    <s v=""/>
  </r>
  <r>
    <d v="2022-11-09T00:00:00"/>
    <x v="2"/>
    <x v="3"/>
    <x v="3"/>
    <x v="1"/>
    <x v="112"/>
    <x v="5"/>
    <x v="4"/>
    <s v="Resolved by Scaled TPS independently "/>
    <n v="3"/>
    <n v="3"/>
    <n v="3"/>
    <n v="3"/>
    <n v="3"/>
    <n v="3"/>
    <n v="3"/>
    <n v="3"/>
    <s v="N/A"/>
    <s v="Pass"/>
    <x v="0"/>
    <n v="0"/>
    <m/>
    <n v="3"/>
    <n v="3"/>
    <n v="3"/>
    <n v="3"/>
    <s v="NA"/>
    <n v="3"/>
    <n v="3"/>
    <n v="3"/>
    <s v="NA"/>
    <s v="Great job!"/>
    <s v="Pass"/>
    <x v="0"/>
    <s v=""/>
    <x v="0"/>
    <x v="0"/>
    <s v=""/>
    <n v="1"/>
    <x v="0"/>
    <s v=""/>
  </r>
  <r>
    <d v="2022-11-09T00:00:00"/>
    <x v="2"/>
    <x v="3"/>
    <x v="3"/>
    <x v="1"/>
    <x v="113"/>
    <x v="6"/>
    <x v="3"/>
    <s v="Resolved by Scaled TPS independently "/>
    <n v="3"/>
    <n v="3"/>
    <n v="3"/>
    <n v="3"/>
    <n v="3"/>
    <n v="3"/>
    <n v="3"/>
    <n v="3"/>
    <s v="N/A"/>
    <s v="Pass"/>
    <x v="0"/>
    <n v="0"/>
    <m/>
    <n v="2"/>
    <n v="3"/>
    <n v="2"/>
    <n v="3"/>
    <s v="NA"/>
    <n v="3"/>
    <n v="3"/>
    <n v="3"/>
    <s v="NA"/>
    <s v="Wrong priority (Total Spend From Last 30 Days - 335182.12 MXN ~ 17,329.87 United States Dollar should be P1). Good comms and timeline for closing"/>
    <s v="Neutral"/>
    <x v="0"/>
    <s v=""/>
    <x v="2"/>
    <x v="0"/>
    <s v=""/>
    <n v="1"/>
    <x v="0"/>
    <s v=""/>
  </r>
  <r>
    <d v="2022-11-09T00:00:00"/>
    <x v="2"/>
    <x v="3"/>
    <x v="3"/>
    <x v="1"/>
    <x v="114"/>
    <x v="6"/>
    <x v="1"/>
    <s v="Resolved by Scaled TPS independently "/>
    <n v="3"/>
    <n v="3"/>
    <n v="3"/>
    <n v="3"/>
    <n v="3"/>
    <n v="3"/>
    <n v="3"/>
    <n v="3"/>
    <s v="N/A"/>
    <s v="Pass"/>
    <x v="0"/>
    <n v="0"/>
    <m/>
    <s v="NA"/>
    <n v="3"/>
    <n v="3"/>
    <n v="3"/>
    <s v="NA"/>
    <s v="NA"/>
    <n v="3"/>
    <n v="1"/>
    <s v="NA"/>
    <s v="Good comms, allowed sufficient time for follow up and quickly addressed new questions"/>
    <s v="Fail"/>
    <x v="1"/>
    <n v="1"/>
    <x v="1"/>
    <x v="1"/>
    <n v="1"/>
    <n v="1"/>
    <x v="19"/>
    <s v="Resolution time"/>
  </r>
  <r>
    <d v="2022-11-08T00:00:00"/>
    <x v="2"/>
    <x v="3"/>
    <x v="3"/>
    <x v="1"/>
    <x v="115"/>
    <x v="7"/>
    <x v="2"/>
    <s v="Resolved by Scaled TPS independently "/>
    <n v="3"/>
    <n v="3"/>
    <n v="3"/>
    <n v="3"/>
    <n v="3"/>
    <n v="3"/>
    <n v="3"/>
    <n v="3"/>
    <s v="N/A"/>
    <s v="Pass"/>
    <x v="0"/>
    <n v="0"/>
    <m/>
    <n v="2"/>
    <n v="3"/>
    <n v="2"/>
    <n v="3"/>
    <s v="NA"/>
    <n v="3"/>
    <n v="2"/>
    <n v="3"/>
    <s v="NA"/>
    <s v="Wrong priority (with $204K spend should be P1)"/>
    <s v="Neutral"/>
    <x v="0"/>
    <s v=""/>
    <x v="2"/>
    <x v="0"/>
    <s v=""/>
    <n v="1"/>
    <x v="0"/>
    <s v=""/>
  </r>
  <r>
    <d v="2022-11-08T00:00:00"/>
    <x v="2"/>
    <x v="3"/>
    <x v="3"/>
    <x v="1"/>
    <x v="116"/>
    <x v="7"/>
    <x v="0"/>
    <s v="Resolved by Scaled TPS independently "/>
    <n v="3"/>
    <n v="3"/>
    <n v="3"/>
    <n v="3"/>
    <n v="3"/>
    <n v="3"/>
    <n v="3"/>
    <n v="3"/>
    <s v="N/A"/>
    <s v="Pass"/>
    <x v="0"/>
    <n v="0"/>
    <m/>
    <n v="3"/>
    <n v="3"/>
    <n v="2"/>
    <n v="3"/>
    <s v="NA"/>
    <n v="1"/>
    <n v="3"/>
    <n v="1"/>
    <s v="NA"/>
    <s v="Known bug with no commitment from RD on the side of resolution. Global TPS linked the issue but kept the ticekt with Scaled TPS"/>
    <s v="Fail"/>
    <x v="1"/>
    <n v="1"/>
    <x v="1"/>
    <x v="1"/>
    <n v="1"/>
    <n v="1"/>
    <x v="20"/>
    <s v="Solution Acceptability , Resolution time"/>
  </r>
  <r>
    <d v="2022-11-09T00:00:00"/>
    <x v="2"/>
    <x v="3"/>
    <x v="3"/>
    <x v="1"/>
    <x v="117"/>
    <x v="8"/>
    <x v="1"/>
    <s v="Resolved by Scaled TPS independently "/>
    <n v="3"/>
    <n v="3"/>
    <n v="3"/>
    <n v="3"/>
    <n v="3"/>
    <n v="3"/>
    <n v="3"/>
    <n v="3"/>
    <s v="N/A"/>
    <s v="Pass"/>
    <x v="0"/>
    <n v="0"/>
    <m/>
    <n v="3"/>
    <n v="3"/>
    <n v="1"/>
    <n v="2"/>
    <s v="NA"/>
    <s v="NA"/>
    <n v="3"/>
    <n v="2"/>
    <s v="NA"/>
    <s v="Need better probing questions to understand the issue + use of abbreviation list."/>
    <s v="Fail"/>
    <x v="1"/>
    <n v="1"/>
    <x v="1"/>
    <x v="1"/>
    <n v="1"/>
    <n v="1"/>
    <x v="21"/>
    <s v="Product Information"/>
  </r>
  <r>
    <d v="2022-11-09T00:00:00"/>
    <x v="2"/>
    <x v="3"/>
    <x v="3"/>
    <x v="1"/>
    <x v="118"/>
    <x v="8"/>
    <x v="1"/>
    <s v="Resolved by Scaled TPS independently "/>
    <n v="3"/>
    <n v="3"/>
    <n v="3"/>
    <n v="3"/>
    <n v="3"/>
    <n v="3"/>
    <n v="3"/>
    <n v="3"/>
    <s v="N/A"/>
    <s v="Pass"/>
    <x v="0"/>
    <n v="0"/>
    <m/>
    <n v="3"/>
    <n v="3"/>
    <n v="3"/>
    <n v="2"/>
    <s v="NA"/>
    <n v="2"/>
    <n v="3"/>
    <n v="3"/>
    <s v="NA"/>
    <s v="Ok ticket"/>
    <s v="Neutral"/>
    <x v="0"/>
    <s v=""/>
    <x v="2"/>
    <x v="0"/>
    <s v=""/>
    <n v="1"/>
    <x v="0"/>
    <s v=""/>
  </r>
  <r>
    <d v="2022-11-08T00:00:00"/>
    <x v="2"/>
    <x v="3"/>
    <x v="3"/>
    <x v="1"/>
    <x v="119"/>
    <x v="9"/>
    <x v="3"/>
    <s v="Resolved by Scaled TPS independently "/>
    <n v="3"/>
    <n v="3"/>
    <n v="3"/>
    <n v="1"/>
    <n v="3"/>
    <n v="3"/>
    <n v="3"/>
    <n v="3"/>
    <s v="[Positive Tone]: &quot;Have you even bothered to look at the aforementioned screenshots? With both ad groups, you are essentially hitting your budget every day. Due to the learning period, it didn't meet the budget on the first day.&quot;_x000a_Reason for Failure: Showcased personal feelings or frustration (as per scaled TPS QA grid)"/>
    <s v="Fail"/>
    <x v="1"/>
    <n v="1"/>
    <m/>
    <n v="2"/>
    <n v="3"/>
    <n v="2"/>
    <n v="3"/>
    <s v="NA"/>
    <n v="3"/>
    <n v="3"/>
    <n v="3"/>
    <s v="NA"/>
    <s v="Wrong priority (with $57K spend should be P1 for GB)."/>
    <s v="Neutral"/>
    <x v="0"/>
    <s v=""/>
    <x v="1"/>
    <x v="1"/>
    <n v="1"/>
    <n v="1"/>
    <x v="22"/>
    <s v="Positive Tone"/>
  </r>
  <r>
    <d v="2022-11-07T00:00:00"/>
    <x v="2"/>
    <x v="3"/>
    <x v="3"/>
    <x v="1"/>
    <x v="120"/>
    <x v="9"/>
    <x v="3"/>
    <s v="Resolved by Scaled TPS independently "/>
    <n v="3"/>
    <n v="3"/>
    <n v="3"/>
    <n v="3"/>
    <n v="3"/>
    <n v="3"/>
    <n v="3"/>
    <n v="3"/>
    <s v="N/A"/>
    <s v="Pass"/>
    <x v="0"/>
    <n v="0"/>
    <m/>
    <n v="3"/>
    <n v="3"/>
    <n v="3"/>
    <n v="3"/>
    <n v="3"/>
    <n v="3"/>
    <n v="3"/>
    <n v="3"/>
    <s v="NA"/>
    <s v="Good work"/>
    <s v="Pass"/>
    <x v="0"/>
    <s v=""/>
    <x v="0"/>
    <x v="0"/>
    <s v=""/>
    <n v="1"/>
    <x v="0"/>
    <s v=""/>
  </r>
  <r>
    <d v="2022-11-10T00:00:00"/>
    <x v="2"/>
    <x v="3"/>
    <x v="3"/>
    <x v="1"/>
    <x v="121"/>
    <x v="10"/>
    <x v="0"/>
    <s v="Resolved by Scaled TPS independently "/>
    <n v="3"/>
    <n v="3"/>
    <n v="3"/>
    <n v="3"/>
    <n v="3"/>
    <n v="3"/>
    <n v="3"/>
    <n v="3"/>
    <s v="Very nice first response content covering various possible scenarios leading to an efficient resolution. Nicely done."/>
    <s v="Pass"/>
    <x v="0"/>
    <n v="0"/>
    <m/>
    <n v="3"/>
    <n v="3"/>
    <n v="3"/>
    <n v="3"/>
    <s v="NA"/>
    <n v="3"/>
    <n v="3"/>
    <n v="3"/>
    <s v="NA"/>
    <s v="Good ticket"/>
    <s v="Pass"/>
    <x v="0"/>
    <s v=""/>
    <x v="0"/>
    <x v="0"/>
    <s v=""/>
    <n v="1"/>
    <x v="0"/>
    <s v=""/>
  </r>
  <r>
    <d v="2022-11-10T00:00:00"/>
    <x v="2"/>
    <x v="3"/>
    <x v="3"/>
    <x v="1"/>
    <x v="122"/>
    <x v="10"/>
    <x v="2"/>
    <s v="Resolved by Scaled TPS independently "/>
    <n v="3"/>
    <n v="3"/>
    <n v="3"/>
    <n v="3"/>
    <n v="3"/>
    <n v="3"/>
    <n v="3"/>
    <n v="3"/>
    <s v="N/A"/>
    <s v="Pass"/>
    <x v="0"/>
    <n v="0"/>
    <m/>
    <n v="3"/>
    <n v="3"/>
    <n v="3"/>
    <n v="3"/>
    <s v="NA"/>
    <n v="3"/>
    <n v="3"/>
    <n v="3"/>
    <s v="NA"/>
    <s v="Good job in the ticket: from comms to closing"/>
    <s v="Pass"/>
    <x v="0"/>
    <s v=""/>
    <x v="0"/>
    <x v="0"/>
    <s v=""/>
    <n v="1"/>
    <x v="0"/>
    <s v=""/>
  </r>
  <r>
    <d v="2022-11-09T00:00:00"/>
    <x v="2"/>
    <x v="3"/>
    <x v="3"/>
    <x v="1"/>
    <x v="123"/>
    <x v="11"/>
    <x v="3"/>
    <s v="Resolved by Scaled TPS independently "/>
    <n v="3"/>
    <n v="3"/>
    <n v="3"/>
    <n v="3"/>
    <n v="3"/>
    <n v="1"/>
    <n v="3"/>
    <n v="3"/>
    <s v="[Accountability &amp; Ownership]:  &quot;I noticed that the client is using a more bottom-of-funnel approach by optimizing for an In-App Event on Purchases.&quot;_x000a_Reason for Failure: Used language that showcased ownership like &quot;I&quot;, as per Scaled TPS-QA Grid."/>
    <s v="Fail"/>
    <x v="1"/>
    <n v="1"/>
    <m/>
    <n v="3"/>
    <n v="3"/>
    <n v="3"/>
    <n v="3"/>
    <s v="NA"/>
    <n v="3"/>
    <n v="3"/>
    <n v="2"/>
    <s v="NA"/>
    <s v="Good comms and explanations, missed SLA on resolution time a bit"/>
    <s v="Neutral"/>
    <x v="0"/>
    <s v=""/>
    <x v="1"/>
    <x v="1"/>
    <n v="1"/>
    <n v="1"/>
    <x v="23"/>
    <s v="Accountability &amp; Ownership"/>
  </r>
  <r>
    <d v="2022-11-08T00:00:00"/>
    <x v="2"/>
    <x v="3"/>
    <x v="3"/>
    <x v="1"/>
    <x v="124"/>
    <x v="11"/>
    <x v="3"/>
    <s v="Resolved by Scaled TPS independently "/>
    <n v="3"/>
    <n v="3"/>
    <n v="3"/>
    <n v="3"/>
    <n v="3"/>
    <n v="3"/>
    <n v="3"/>
    <n v="3"/>
    <s v="N/A"/>
    <s v="Pass"/>
    <x v="0"/>
    <n v="0"/>
    <m/>
    <n v="3"/>
    <n v="2"/>
    <n v="2"/>
    <n v="3"/>
    <s v="NA"/>
    <n v="2"/>
    <n v="3"/>
    <n v="3"/>
    <s v="NA"/>
    <s v="Need more elaborate instructions on steps to change email, confusing info"/>
    <s v="Neutral"/>
    <x v="0"/>
    <s v=""/>
    <x v="2"/>
    <x v="0"/>
    <s v=""/>
    <n v="1"/>
    <x v="0"/>
    <s v=""/>
  </r>
  <r>
    <d v="2022-11-08T00:00:00"/>
    <x v="2"/>
    <x v="3"/>
    <x v="3"/>
    <x v="1"/>
    <x v="125"/>
    <x v="12"/>
    <x v="1"/>
    <s v="Resolved by Scaled TPS independently "/>
    <n v="3"/>
    <n v="3"/>
    <n v="3"/>
    <n v="3"/>
    <n v="3"/>
    <n v="3"/>
    <n v="3"/>
    <n v="3"/>
    <s v="N/A"/>
    <s v="Pass"/>
    <x v="0"/>
    <n v="0"/>
    <m/>
    <n v="3"/>
    <n v="3"/>
    <n v="3"/>
    <n v="3"/>
    <s v="NA"/>
    <n v="3"/>
    <n v="3"/>
    <n v="3"/>
    <s v="NA"/>
    <s v="Really solid ticket"/>
    <s v="Pass"/>
    <x v="0"/>
    <s v=""/>
    <x v="0"/>
    <x v="0"/>
    <s v=""/>
    <n v="1"/>
    <x v="0"/>
    <s v=""/>
  </r>
  <r>
    <d v="2022-11-08T00:00:00"/>
    <x v="2"/>
    <x v="3"/>
    <x v="3"/>
    <x v="1"/>
    <x v="126"/>
    <x v="12"/>
    <x v="2"/>
    <s v="Resolved by Scaled TPS independently "/>
    <n v="3"/>
    <n v="3"/>
    <n v="3"/>
    <n v="3"/>
    <n v="3"/>
    <n v="3"/>
    <n v="3"/>
    <n v="3"/>
    <s v="N/A"/>
    <s v="Pass"/>
    <x v="0"/>
    <n v="0"/>
    <m/>
    <n v="3"/>
    <n v="3"/>
    <n v="3"/>
    <n v="3"/>
    <s v="NA"/>
    <n v="3"/>
    <n v="3"/>
    <n v="3"/>
    <s v="NA"/>
    <s v="Good ticket"/>
    <s v="Pass"/>
    <x v="0"/>
    <s v=""/>
    <x v="0"/>
    <x v="0"/>
    <s v=""/>
    <n v="1"/>
    <x v="0"/>
    <s v=""/>
  </r>
  <r>
    <d v="2022-11-10T00:00:00"/>
    <x v="2"/>
    <x v="3"/>
    <x v="3"/>
    <x v="1"/>
    <x v="127"/>
    <x v="13"/>
    <x v="0"/>
    <s v="Resolved by Scaled TPS independently "/>
    <n v="3"/>
    <n v="3"/>
    <n v="3"/>
    <n v="3"/>
    <n v="3"/>
    <n v="3"/>
    <n v="3"/>
    <n v="3"/>
    <s v="N/A"/>
    <s v="Pass"/>
    <x v="0"/>
    <n v="0"/>
    <m/>
    <n v="3"/>
    <n v="3"/>
    <n v="3"/>
    <n v="3"/>
    <s v="NA"/>
    <n v="3"/>
    <n v="3"/>
    <n v="2"/>
    <s v="NA"/>
    <s v="Good ticket and elaborate explanations"/>
    <s v="Neutral"/>
    <x v="0"/>
    <s v=""/>
    <x v="2"/>
    <x v="0"/>
    <s v=""/>
    <n v="1"/>
    <x v="0"/>
    <s v=""/>
  </r>
  <r>
    <d v="2022-11-11T00:00:00"/>
    <x v="2"/>
    <x v="3"/>
    <x v="3"/>
    <x v="1"/>
    <x v="128"/>
    <x v="13"/>
    <x v="2"/>
    <s v="Resolved by Scaled TPS independently "/>
    <n v="3"/>
    <n v="3"/>
    <n v="3"/>
    <n v="3"/>
    <n v="3"/>
    <n v="3"/>
    <n v="3"/>
    <n v="3"/>
    <s v="N/A"/>
    <s v="Pass"/>
    <x v="0"/>
    <n v="0"/>
    <m/>
    <n v="3"/>
    <n v="3"/>
    <n v="3"/>
    <n v="3"/>
    <s v="NA"/>
    <n v="3"/>
    <n v="3"/>
    <n v="3"/>
    <s v="NA"/>
    <s v="NA"/>
    <s v="Pass"/>
    <x v="0"/>
    <s v=""/>
    <x v="0"/>
    <x v="0"/>
    <s v=""/>
    <n v="1"/>
    <x v="0"/>
    <s v=""/>
  </r>
  <r>
    <d v="2022-11-08T00:00:00"/>
    <x v="2"/>
    <x v="3"/>
    <x v="3"/>
    <x v="1"/>
    <x v="129"/>
    <x v="14"/>
    <x v="2"/>
    <s v="Resolved by Scaled TPS independently "/>
    <n v="3"/>
    <n v="3"/>
    <n v="3"/>
    <n v="3"/>
    <n v="3"/>
    <n v="3"/>
    <n v="3"/>
    <n v="3"/>
    <s v="N/A"/>
    <s v="Pass"/>
    <x v="0"/>
    <n v="0"/>
    <m/>
    <n v="3"/>
    <n v="3"/>
    <n v="3"/>
    <n v="3"/>
    <n v="3"/>
    <n v="2"/>
    <n v="3"/>
    <n v="3"/>
    <n v="2"/>
    <s v="The escalation note could have been more detailed"/>
    <s v="Neutral"/>
    <x v="0"/>
    <s v=""/>
    <x v="2"/>
    <x v="0"/>
    <s v=""/>
    <n v="1"/>
    <x v="0"/>
    <s v=""/>
  </r>
  <r>
    <d v="2022-11-11T00:00:00"/>
    <x v="2"/>
    <x v="3"/>
    <x v="3"/>
    <x v="1"/>
    <x v="130"/>
    <x v="14"/>
    <x v="0"/>
    <s v="Resolved by Scaled TPS independently "/>
    <n v="3"/>
    <n v="3"/>
    <n v="3"/>
    <n v="3"/>
    <n v="3"/>
    <n v="3"/>
    <n v="3"/>
    <n v="3"/>
    <s v="N/A"/>
    <s v="Pass"/>
    <x v="0"/>
    <n v="0"/>
    <m/>
    <n v="3"/>
    <n v="3"/>
    <n v="3"/>
    <n v="3"/>
    <s v="NA"/>
    <n v="3"/>
    <n v="3"/>
    <n v="3"/>
    <s v="NA"/>
    <s v="NA"/>
    <s v="Pass"/>
    <x v="0"/>
    <s v=""/>
    <x v="0"/>
    <x v="0"/>
    <s v=""/>
    <n v="1"/>
    <x v="0"/>
    <s v=""/>
  </r>
  <r>
    <d v="2022-11-11T00:00:00"/>
    <x v="2"/>
    <x v="3"/>
    <x v="3"/>
    <x v="1"/>
    <x v="131"/>
    <x v="15"/>
    <x v="3"/>
    <s v="Resolved by Scaled TPS independently "/>
    <n v="3"/>
    <n v="3"/>
    <n v="3"/>
    <n v="3"/>
    <n v="3"/>
    <n v="3"/>
    <n v="3"/>
    <n v="3"/>
    <s v="N/A"/>
    <s v="Pass"/>
    <x v="0"/>
    <n v="0"/>
    <m/>
    <n v="3"/>
    <n v="3"/>
    <n v="3"/>
    <n v="3"/>
    <s v="NA"/>
    <n v="3"/>
    <n v="3"/>
    <n v="3"/>
    <s v="NA"/>
    <s v="NA"/>
    <s v="Pass"/>
    <x v="0"/>
    <s v=""/>
    <x v="0"/>
    <x v="0"/>
    <s v=""/>
    <n v="1"/>
    <x v="0"/>
    <s v=""/>
  </r>
  <r>
    <d v="2022-11-10T00:00:00"/>
    <x v="2"/>
    <x v="3"/>
    <x v="3"/>
    <x v="1"/>
    <x v="132"/>
    <x v="15"/>
    <x v="2"/>
    <s v="Resolved by Scaled TPS independently "/>
    <n v="3"/>
    <n v="3"/>
    <n v="3"/>
    <n v="3"/>
    <n v="3"/>
    <n v="3"/>
    <n v="3"/>
    <n v="3"/>
    <s v="N/A"/>
    <s v="Pass"/>
    <x v="0"/>
    <n v="0"/>
    <m/>
    <n v="3"/>
    <n v="3"/>
    <n v="3"/>
    <n v="3"/>
    <s v="NA"/>
    <n v="3"/>
    <n v="3"/>
    <n v="3"/>
    <s v="NA"/>
    <s v="NA"/>
    <s v="Pass"/>
    <x v="0"/>
    <s v=""/>
    <x v="0"/>
    <x v="0"/>
    <s v=""/>
    <n v="1"/>
    <x v="0"/>
    <s v=""/>
  </r>
  <r>
    <d v="2022-11-08T00:00:00"/>
    <x v="2"/>
    <x v="3"/>
    <x v="3"/>
    <x v="1"/>
    <x v="133"/>
    <x v="17"/>
    <x v="1"/>
    <s v="Resolved by Scaled TPS independently "/>
    <n v="3"/>
    <n v="3"/>
    <n v="3"/>
    <n v="3"/>
    <n v="3"/>
    <n v="3"/>
    <n v="3"/>
    <n v="3"/>
    <s v="N/A"/>
    <s v="Pass"/>
    <x v="0"/>
    <n v="0"/>
    <m/>
    <n v="3"/>
    <n v="3"/>
    <n v="3"/>
    <n v="3"/>
    <s v="NA"/>
    <n v="3"/>
    <n v="3"/>
    <n v="3"/>
    <s v="NA"/>
    <s v="NA"/>
    <s v="Pass"/>
    <x v="0"/>
    <s v=""/>
    <x v="0"/>
    <x v="0"/>
    <s v=""/>
    <n v="1"/>
    <x v="0"/>
    <s v=""/>
  </r>
  <r>
    <d v="2022-11-08T00:00:00"/>
    <x v="2"/>
    <x v="3"/>
    <x v="3"/>
    <x v="1"/>
    <x v="134"/>
    <x v="17"/>
    <x v="1"/>
    <s v="Resolved by Scaled TPS independently "/>
    <n v="3"/>
    <n v="3"/>
    <n v="3"/>
    <n v="3"/>
    <n v="3"/>
    <n v="3"/>
    <n v="3"/>
    <n v="3"/>
    <s v="N/A"/>
    <s v="Pass"/>
    <x v="0"/>
    <n v="0"/>
    <m/>
    <n v="3"/>
    <n v="3"/>
    <n v="3"/>
    <n v="3"/>
    <s v="NA"/>
    <n v="3"/>
    <n v="3"/>
    <n v="3"/>
    <s v="NA"/>
    <s v="NA"/>
    <s v="Pass"/>
    <x v="0"/>
    <s v=""/>
    <x v="0"/>
    <x v="0"/>
    <s v=""/>
    <n v="1"/>
    <x v="0"/>
    <s v=""/>
  </r>
  <r>
    <d v="2022-11-09T00:00:00"/>
    <x v="2"/>
    <x v="3"/>
    <x v="3"/>
    <x v="1"/>
    <x v="135"/>
    <x v="18"/>
    <x v="3"/>
    <s v="Resolved by Scaled TPS independently "/>
    <n v="3"/>
    <n v="3"/>
    <n v="3"/>
    <n v="3"/>
    <n v="3"/>
    <n v="3"/>
    <n v="3"/>
    <n v="3"/>
    <s v="N/A"/>
    <s v="Pass"/>
    <x v="0"/>
    <n v="0"/>
    <m/>
    <n v="3"/>
    <n v="3"/>
    <n v="3"/>
    <n v="3"/>
    <s v="NA"/>
    <n v="3"/>
    <n v="3"/>
    <n v="3"/>
    <s v="NA"/>
    <s v="NA"/>
    <s v="Pass"/>
    <x v="0"/>
    <s v=""/>
    <x v="0"/>
    <x v="0"/>
    <s v=""/>
    <n v="1"/>
    <x v="0"/>
    <s v=""/>
  </r>
  <r>
    <d v="2022-11-12T00:00:00"/>
    <x v="2"/>
    <x v="3"/>
    <x v="3"/>
    <x v="1"/>
    <x v="136"/>
    <x v="18"/>
    <x v="0"/>
    <s v="Resolved by Scaled TPS independently "/>
    <n v="3"/>
    <n v="3"/>
    <n v="3"/>
    <n v="3"/>
    <n v="3"/>
    <n v="3"/>
    <n v="3"/>
    <n v="3"/>
    <s v="N/A"/>
    <s v="Pass"/>
    <x v="0"/>
    <n v="0"/>
    <m/>
    <n v="3"/>
    <n v="3"/>
    <n v="3"/>
    <n v="3"/>
    <s v="NA"/>
    <n v="3"/>
    <n v="3"/>
    <n v="3"/>
    <s v="NA"/>
    <s v="NA"/>
    <s v="Pass"/>
    <x v="0"/>
    <s v=""/>
    <x v="0"/>
    <x v="0"/>
    <s v=""/>
    <n v="1"/>
    <x v="0"/>
    <s v=""/>
  </r>
  <r>
    <d v="2022-11-09T00:00:00"/>
    <x v="1"/>
    <x v="3"/>
    <x v="3"/>
    <x v="1"/>
    <x v="137"/>
    <x v="1"/>
    <x v="3"/>
    <s v="Resolved by Scaled TPS independently "/>
    <n v="3"/>
    <n v="3"/>
    <n v="3"/>
    <n v="3"/>
    <n v="3"/>
    <n v="3"/>
    <n v="3"/>
    <n v="3"/>
    <s v="N/A"/>
    <s v="Pass"/>
    <x v="0"/>
    <n v="0"/>
    <m/>
    <n v="3"/>
    <n v="3"/>
    <n v="2"/>
    <n v="2"/>
    <s v="NA"/>
    <n v="2"/>
    <n v="3"/>
    <n v="3"/>
    <s v="NA"/>
    <s v="I see that you are trying to solve the issue fast, but doing so, you are sacrificing quality. Always check whether you can or can't do something before you answer the question. Even better, if you can send the full answer with your response."/>
    <s v="Neutral"/>
    <x v="0"/>
    <s v=""/>
    <x v="2"/>
    <x v="0"/>
    <s v=""/>
    <n v="1"/>
    <x v="0"/>
    <s v=""/>
  </r>
  <r>
    <d v="2022-11-07T00:00:00"/>
    <x v="1"/>
    <x v="3"/>
    <x v="3"/>
    <x v="1"/>
    <x v="138"/>
    <x v="1"/>
    <x v="2"/>
    <s v="Resolved by Scaled TPS independently "/>
    <n v="3"/>
    <n v="3"/>
    <n v="3"/>
    <n v="3"/>
    <n v="3"/>
    <n v="3"/>
    <n v="3"/>
    <n v="3"/>
    <s v="N/A"/>
    <s v="Pass"/>
    <x v="0"/>
    <n v="0"/>
    <m/>
    <n v="3"/>
    <n v="3"/>
    <n v="3"/>
    <n v="3"/>
    <s v="NA"/>
    <n v="3"/>
    <n v="3"/>
    <n v="3"/>
    <s v="NA"/>
    <s v="NA"/>
    <s v="Pass"/>
    <x v="0"/>
    <s v=""/>
    <x v="0"/>
    <x v="0"/>
    <s v=""/>
    <n v="1"/>
    <x v="0"/>
    <s v=""/>
  </r>
  <r>
    <d v="2022-11-08T00:00:00"/>
    <x v="1"/>
    <x v="3"/>
    <x v="3"/>
    <x v="1"/>
    <x v="139"/>
    <x v="2"/>
    <x v="1"/>
    <s v="Resolved by Scaled TPS independently "/>
    <n v="3"/>
    <n v="3"/>
    <n v="3"/>
    <n v="3"/>
    <n v="3"/>
    <n v="3"/>
    <n v="3"/>
    <n v="3"/>
    <s v="N/A"/>
    <s v="Pass"/>
    <x v="0"/>
    <n v="0"/>
    <m/>
    <n v="3"/>
    <n v="3"/>
    <n v="3"/>
    <n v="3"/>
    <s v="NA"/>
    <n v="3"/>
    <n v="3"/>
    <n v="3"/>
    <s v="NA"/>
    <s v="NA"/>
    <s v="Pass"/>
    <x v="0"/>
    <s v=""/>
    <x v="0"/>
    <x v="0"/>
    <s v=""/>
    <n v="1"/>
    <x v="0"/>
    <s v=""/>
  </r>
  <r>
    <d v="2022-11-07T00:00:00"/>
    <x v="1"/>
    <x v="3"/>
    <x v="3"/>
    <x v="1"/>
    <x v="140"/>
    <x v="2"/>
    <x v="4"/>
    <s v="Resolved by Scaled TPS independently "/>
    <n v="3"/>
    <n v="3"/>
    <n v="3"/>
    <n v="3"/>
    <n v="3"/>
    <n v="3"/>
    <n v="3"/>
    <n v="3"/>
    <s v="N/A"/>
    <s v="Pass"/>
    <x v="0"/>
    <n v="0"/>
    <m/>
    <n v="3"/>
    <n v="3"/>
    <n v="3"/>
    <n v="3"/>
    <s v="NA"/>
    <n v="3"/>
    <n v="3"/>
    <n v="3"/>
    <s v="NA"/>
    <s v="NA"/>
    <s v="Pass"/>
    <x v="0"/>
    <s v=""/>
    <x v="0"/>
    <x v="0"/>
    <s v=""/>
    <n v="1"/>
    <x v="0"/>
    <s v=""/>
  </r>
  <r>
    <d v="2022-11-07T00:00:00"/>
    <x v="1"/>
    <x v="3"/>
    <x v="3"/>
    <x v="1"/>
    <x v="141"/>
    <x v="3"/>
    <x v="3"/>
    <s v="Escalated to Global TPS "/>
    <n v="3"/>
    <n v="3"/>
    <n v="3"/>
    <n v="3"/>
    <n v="3"/>
    <n v="3"/>
    <n v="3"/>
    <n v="3"/>
    <s v="N/A"/>
    <s v="Pass"/>
    <x v="0"/>
    <n v="0"/>
    <m/>
    <n v="3"/>
    <n v="3"/>
    <n v="3"/>
    <n v="3"/>
    <s v="NA"/>
    <n v="3"/>
    <n v="3"/>
    <n v="3"/>
    <s v="NA"/>
    <s v="NA"/>
    <s v="Pass"/>
    <x v="0"/>
    <s v=""/>
    <x v="0"/>
    <x v="0"/>
    <s v=""/>
    <n v="1"/>
    <x v="0"/>
    <s v=""/>
  </r>
  <r>
    <d v="2022-11-11T00:00:00"/>
    <x v="1"/>
    <x v="3"/>
    <x v="3"/>
    <x v="1"/>
    <x v="142"/>
    <x v="3"/>
    <x v="1"/>
    <s v="Resolved by Scaled TPS independently "/>
    <n v="3"/>
    <n v="3"/>
    <n v="3"/>
    <n v="3"/>
    <n v="3"/>
    <n v="3"/>
    <n v="3"/>
    <n v="3"/>
    <s v="N/A"/>
    <s v="Pass"/>
    <x v="0"/>
    <n v="0"/>
    <m/>
    <n v="3"/>
    <n v="3"/>
    <n v="3"/>
    <n v="3"/>
    <n v="3"/>
    <n v="3"/>
    <n v="3"/>
    <n v="3"/>
    <n v="3"/>
    <s v="NA"/>
    <s v="Pass"/>
    <x v="0"/>
    <s v=""/>
    <x v="0"/>
    <x v="0"/>
    <s v=""/>
    <n v="1"/>
    <x v="0"/>
    <s v=""/>
  </r>
  <r>
    <d v="2022-11-10T00:00:00"/>
    <x v="3"/>
    <x v="3"/>
    <x v="3"/>
    <x v="1"/>
    <x v="143"/>
    <x v="19"/>
    <x v="1"/>
    <s v="Resolved by Scaled TPS independently "/>
    <n v="3"/>
    <n v="3"/>
    <n v="3"/>
    <n v="3"/>
    <n v="3"/>
    <n v="3"/>
    <n v="3"/>
    <n v="3"/>
    <s v="N/A"/>
    <s v="Pass"/>
    <x v="0"/>
    <n v="0"/>
    <m/>
    <n v="3"/>
    <n v="3"/>
    <n v="3"/>
    <n v="3"/>
    <s v="NA"/>
    <n v="3"/>
    <n v="3"/>
    <n v="3"/>
    <s v="NA"/>
    <s v="NA"/>
    <s v="Pass"/>
    <x v="0"/>
    <s v=""/>
    <x v="0"/>
    <x v="0"/>
    <s v=""/>
    <n v="1"/>
    <x v="0"/>
    <s v=""/>
  </r>
  <r>
    <d v="2022-11-08T00:00:00"/>
    <x v="3"/>
    <x v="3"/>
    <x v="3"/>
    <x v="1"/>
    <x v="144"/>
    <x v="19"/>
    <x v="4"/>
    <s v="Resolved by Scaled TPS independently "/>
    <n v="3"/>
    <n v="3"/>
    <n v="3"/>
    <n v="3"/>
    <n v="3"/>
    <n v="3"/>
    <n v="3"/>
    <n v="3"/>
    <s v="N/A"/>
    <s v="Pass"/>
    <x v="0"/>
    <n v="0"/>
    <m/>
    <n v="3"/>
    <n v="3"/>
    <n v="3"/>
    <n v="3"/>
    <s v="NA"/>
    <n v="3"/>
    <n v="3"/>
    <n v="3"/>
    <s v="NA"/>
    <s v="NA"/>
    <s v="Pass"/>
    <x v="0"/>
    <s v=""/>
    <x v="0"/>
    <x v="0"/>
    <s v=""/>
    <n v="1"/>
    <x v="0"/>
    <s v=""/>
  </r>
  <r>
    <d v="2022-11-10T00:00:00"/>
    <x v="3"/>
    <x v="3"/>
    <x v="3"/>
    <x v="1"/>
    <x v="145"/>
    <x v="20"/>
    <x v="2"/>
    <s v="Resolved by Scaled TPS independently "/>
    <n v="3"/>
    <n v="3"/>
    <n v="3"/>
    <n v="3"/>
    <n v="3"/>
    <n v="3"/>
    <n v="3"/>
    <n v="3"/>
    <s v="N/A"/>
    <s v="Pass"/>
    <x v="0"/>
    <n v="0"/>
    <m/>
    <n v="3"/>
    <n v="3"/>
    <n v="3"/>
    <n v="3"/>
    <s v="NA"/>
    <n v="3"/>
    <n v="3"/>
    <n v="3"/>
    <s v="NA"/>
    <s v="NA"/>
    <s v="Pass"/>
    <x v="0"/>
    <s v=""/>
    <x v="0"/>
    <x v="0"/>
    <s v=""/>
    <n v="1"/>
    <x v="0"/>
    <s v=""/>
  </r>
  <r>
    <d v="2022-11-09T00:00:00"/>
    <x v="3"/>
    <x v="3"/>
    <x v="3"/>
    <x v="1"/>
    <x v="146"/>
    <x v="20"/>
    <x v="4"/>
    <s v="Resolved by Scaled TPS independently "/>
    <n v="3"/>
    <n v="3"/>
    <n v="3"/>
    <n v="3"/>
    <n v="3"/>
    <n v="3"/>
    <n v="3"/>
    <n v="3"/>
    <s v="N/A"/>
    <s v="Pass"/>
    <x v="0"/>
    <n v="0"/>
    <m/>
    <n v="3"/>
    <n v="3"/>
    <n v="3"/>
    <n v="3"/>
    <s v="NA"/>
    <n v="3"/>
    <n v="3"/>
    <n v="3"/>
    <s v="NA"/>
    <s v="NA"/>
    <s v="Pass"/>
    <x v="0"/>
    <s v=""/>
    <x v="0"/>
    <x v="0"/>
    <s v=""/>
    <n v="1"/>
    <x v="0"/>
    <s v=""/>
  </r>
  <r>
    <d v="2022-11-09T00:00:00"/>
    <x v="3"/>
    <x v="3"/>
    <x v="3"/>
    <x v="1"/>
    <x v="147"/>
    <x v="21"/>
    <x v="1"/>
    <s v="Resolved by Scaled TPS independently "/>
    <n v="3"/>
    <n v="3"/>
    <n v="3"/>
    <n v="3"/>
    <n v="3"/>
    <n v="3"/>
    <n v="3"/>
    <n v="3"/>
    <s v="N/A"/>
    <s v="Pass"/>
    <x v="0"/>
    <n v="0"/>
    <m/>
    <n v="3"/>
    <n v="3"/>
    <n v="3"/>
    <n v="3"/>
    <s v="NA"/>
    <n v="3"/>
    <n v="3"/>
    <n v="3"/>
    <s v="NA"/>
    <s v="NA"/>
    <s v="Pass"/>
    <x v="0"/>
    <s v=""/>
    <x v="0"/>
    <x v="0"/>
    <s v=""/>
    <n v="1"/>
    <x v="0"/>
    <s v=""/>
  </r>
  <r>
    <d v="2022-11-08T00:00:00"/>
    <x v="3"/>
    <x v="3"/>
    <x v="3"/>
    <x v="1"/>
    <x v="148"/>
    <x v="21"/>
    <x v="3"/>
    <s v="Resolved by Scaled TPS independently "/>
    <n v="3"/>
    <n v="3"/>
    <n v="3"/>
    <n v="3"/>
    <n v="3"/>
    <n v="3"/>
    <n v="3"/>
    <n v="3"/>
    <s v="N/A"/>
    <s v="Pass"/>
    <x v="0"/>
    <n v="0"/>
    <m/>
    <n v="3"/>
    <n v="3"/>
    <n v="3"/>
    <n v="2"/>
    <s v="NA"/>
    <n v="3"/>
    <n v="3"/>
    <n v="3"/>
    <s v="NA"/>
    <s v="First response could have been more meaningful. This feels a bit too templated"/>
    <s v="Neutral"/>
    <x v="0"/>
    <s v=""/>
    <x v="2"/>
    <x v="0"/>
    <s v=""/>
    <n v="1"/>
    <x v="0"/>
    <s v=""/>
  </r>
  <r>
    <d v="2022-11-11T00:00:00"/>
    <x v="3"/>
    <x v="3"/>
    <x v="3"/>
    <x v="1"/>
    <x v="149"/>
    <x v="22"/>
    <x v="3"/>
    <s v="Resolved by Scaled TPS independently "/>
    <n v="3"/>
    <n v="3"/>
    <n v="3"/>
    <n v="3"/>
    <n v="3"/>
    <n v="3"/>
    <n v="3"/>
    <n v="3"/>
    <s v="[Grammar &amp; Syntax] - &quot;is it mean the spark ad has not authorized at all during ads running time? Or any other situation?&quot; This grammar can be improved here."/>
    <s v="Pass"/>
    <x v="0"/>
    <n v="0"/>
    <m/>
    <n v="3"/>
    <n v="3"/>
    <n v="3"/>
    <n v="3"/>
    <s v="NA"/>
    <n v="3"/>
    <n v="3"/>
    <n v="3"/>
    <s v="NA"/>
    <s v="NA"/>
    <s v="Pass"/>
    <x v="0"/>
    <s v=""/>
    <x v="0"/>
    <x v="0"/>
    <s v=""/>
    <n v="1"/>
    <x v="0"/>
    <s v=""/>
  </r>
  <r>
    <d v="2022-11-07T00:00:00"/>
    <x v="3"/>
    <x v="3"/>
    <x v="3"/>
    <x v="1"/>
    <x v="150"/>
    <x v="22"/>
    <x v="1"/>
    <s v="Resolved by Scaled TPS independently "/>
    <n v="3"/>
    <n v="3"/>
    <n v="3"/>
    <n v="3"/>
    <n v="3"/>
    <n v="3"/>
    <n v="3"/>
    <n v="3"/>
    <s v="N/A"/>
    <s v="Pass"/>
    <x v="0"/>
    <n v="0"/>
    <m/>
    <n v="3"/>
    <n v="3"/>
    <n v="2"/>
    <n v="2"/>
    <s v="NA"/>
    <n v="2"/>
    <n v="3"/>
    <n v="3"/>
    <n v="3"/>
    <s v="- There were quite a lot of grammar mistakes which made the sentences very difficult to understand. Please use Grammarly or a similar tool to check your grammar and spelling mistakes._x000a_- Your explanation feels unfinished to the requester. You should explain more in detail why they can still see impressions even after they've ended the campaign."/>
    <s v="Neutral"/>
    <x v="0"/>
    <s v=""/>
    <x v="2"/>
    <x v="0"/>
    <s v=""/>
    <n v="1"/>
    <x v="0"/>
    <s v=""/>
  </r>
  <r>
    <d v="2022-11-08T00:00:00"/>
    <x v="0"/>
    <x v="3"/>
    <x v="3"/>
    <x v="1"/>
    <x v="151"/>
    <x v="0"/>
    <x v="3"/>
    <s v="Resolved by Scaled TPS independently "/>
    <n v="3"/>
    <n v="3"/>
    <n v="3"/>
    <n v="3"/>
    <n v="3"/>
    <n v="3"/>
    <n v="3"/>
    <n v="3"/>
    <s v="N/A"/>
    <s v="Pass"/>
    <x v="0"/>
    <n v="0"/>
    <m/>
    <n v="3"/>
    <n v="3"/>
    <n v="3"/>
    <n v="3"/>
    <s v="NA"/>
    <n v="3"/>
    <n v="3"/>
    <n v="3"/>
    <s v="NA"/>
    <s v="NA"/>
    <s v="Pass"/>
    <x v="0"/>
    <s v=""/>
    <x v="0"/>
    <x v="0"/>
    <s v=""/>
    <n v="1"/>
    <x v="0"/>
    <s v=""/>
  </r>
  <r>
    <d v="2022-11-07T00:00:00"/>
    <x v="0"/>
    <x v="3"/>
    <x v="3"/>
    <x v="1"/>
    <x v="152"/>
    <x v="0"/>
    <x v="3"/>
    <s v="Resolved by Scaled TPS independently "/>
    <n v="3"/>
    <n v="3"/>
    <n v="3"/>
    <n v="3"/>
    <n v="3"/>
    <n v="3"/>
    <n v="3"/>
    <n v="3"/>
    <s v="N/A"/>
    <s v="Pass"/>
    <x v="0"/>
    <n v="0"/>
    <m/>
    <n v="3"/>
    <n v="3"/>
    <n v="3"/>
    <n v="3"/>
    <n v="3"/>
    <n v="3"/>
    <n v="3"/>
    <n v="2"/>
    <s v="NA"/>
    <s v="Requested card for testing and didn't hear back. Ok ticket, nothing special to comment"/>
    <s v="Neutral"/>
    <x v="0"/>
    <s v=""/>
    <x v="2"/>
    <x v="0"/>
    <s v=""/>
    <n v="1"/>
    <x v="0"/>
    <s v=""/>
  </r>
  <r>
    <d v="2022-11-10T00:00:00"/>
    <x v="0"/>
    <x v="3"/>
    <x v="3"/>
    <x v="1"/>
    <x v="153"/>
    <x v="23"/>
    <x v="1"/>
    <s v="Resolved by Scaled TPS independently "/>
    <n v="3"/>
    <n v="3"/>
    <n v="3"/>
    <n v="3"/>
    <n v="3"/>
    <n v="3"/>
    <n v="3"/>
    <n v="3"/>
    <s v="N/A"/>
    <s v="Pass"/>
    <x v="0"/>
    <n v="0"/>
    <m/>
    <n v="2"/>
    <n v="3"/>
    <n v="2"/>
    <n v="3"/>
    <s v="NA"/>
    <n v="2"/>
    <n v="3"/>
    <n v="2"/>
    <s v="NA"/>
    <s v="Wrong priority (should be P1 with $16K spend in KZ). RT over SLA. Ok comms on the issue, but need faster turnaround on request to explain the nature of the mistake."/>
    <s v="Neutral"/>
    <x v="0"/>
    <s v=""/>
    <x v="2"/>
    <x v="0"/>
    <s v=""/>
    <n v="1"/>
    <x v="0"/>
    <s v=""/>
  </r>
  <r>
    <d v="2022-11-11T00:00:00"/>
    <x v="0"/>
    <x v="3"/>
    <x v="3"/>
    <x v="1"/>
    <x v="154"/>
    <x v="23"/>
    <x v="1"/>
    <s v="Resolved by Scaled TPS independently "/>
    <n v="3"/>
    <n v="3"/>
    <n v="3"/>
    <n v="3"/>
    <n v="3"/>
    <n v="3"/>
    <n v="3"/>
    <n v="3"/>
    <s v="N/A"/>
    <s v="Pass"/>
    <x v="0"/>
    <n v="0"/>
    <m/>
    <n v="3"/>
    <n v="3"/>
    <n v="3"/>
    <n v="3"/>
    <s v="NA"/>
    <n v="3"/>
    <n v="3"/>
    <n v="3"/>
    <s v="NA"/>
    <s v="Very good work on the ticket, good explanations"/>
    <s v="Pass"/>
    <x v="0"/>
    <s v=""/>
    <x v="0"/>
    <x v="0"/>
    <s v=""/>
    <n v="1"/>
    <x v="0"/>
    <s v=""/>
  </r>
  <r>
    <d v="2022-11-10T00:00:00"/>
    <x v="0"/>
    <x v="3"/>
    <x v="3"/>
    <x v="1"/>
    <x v="155"/>
    <x v="24"/>
    <x v="2"/>
    <s v="Resolved by Scaled TPS independently "/>
    <n v="3"/>
    <n v="3"/>
    <n v="3"/>
    <n v="3"/>
    <n v="3"/>
    <n v="3"/>
    <n v="3"/>
    <n v="3"/>
    <s v="N/A"/>
    <s v="Pass"/>
    <x v="0"/>
    <n v="0"/>
    <m/>
    <n v="3"/>
    <n v="3"/>
    <n v="2"/>
    <n v="2"/>
    <n v="3"/>
    <n v="3"/>
    <n v="2"/>
    <n v="3"/>
    <s v="NA"/>
    <s v="Ok ticket, should request screencast from the start. Quick turnaround, but will benefit from providing direct links in the response"/>
    <s v="Neutral"/>
    <x v="0"/>
    <s v=""/>
    <x v="2"/>
    <x v="0"/>
    <s v=""/>
    <n v="1"/>
    <x v="0"/>
    <s v=""/>
  </r>
  <r>
    <d v="2022-11-08T00:00:00"/>
    <x v="0"/>
    <x v="3"/>
    <x v="3"/>
    <x v="1"/>
    <x v="156"/>
    <x v="24"/>
    <x v="1"/>
    <s v="Resolved by Scaled TPS independently "/>
    <n v="3"/>
    <n v="3"/>
    <n v="3"/>
    <n v="3"/>
    <n v="3"/>
    <n v="3"/>
    <n v="3"/>
    <n v="3"/>
    <s v="N/A"/>
    <s v="Pass"/>
    <x v="0"/>
    <n v="0"/>
    <m/>
    <s v=""/>
    <s v=""/>
    <s v=""/>
    <s v=""/>
    <s v=""/>
    <s v=""/>
    <s v=""/>
    <s v=""/>
    <s v=""/>
    <s v=""/>
    <s v="Fail"/>
    <x v="1"/>
    <n v="1"/>
    <x v="0"/>
    <x v="0"/>
    <s v=""/>
    <n v="1"/>
    <x v="0"/>
    <s v=""/>
  </r>
  <r>
    <d v="2022-11-07T00:00:00"/>
    <x v="0"/>
    <x v="3"/>
    <x v="3"/>
    <x v="1"/>
    <x v="157"/>
    <x v="25"/>
    <x v="2"/>
    <s v="Resolved by Scaled TPS independently "/>
    <n v="3"/>
    <n v="3"/>
    <n v="3"/>
    <n v="3"/>
    <n v="3"/>
    <n v="1"/>
    <n v="3"/>
    <n v="3"/>
    <s v="Accountability &amp; Ownership: Did not provide status update every 1 working day until incident is solved. (P2). Expected Follow Ups."/>
    <s v="Fail"/>
    <x v="1"/>
    <n v="1"/>
    <m/>
    <s v=""/>
    <s v=""/>
    <s v=""/>
    <s v=""/>
    <s v=""/>
    <s v=""/>
    <s v=""/>
    <s v=""/>
    <s v=""/>
    <s v=""/>
    <s v="Fail"/>
    <x v="1"/>
    <n v="1"/>
    <x v="1"/>
    <x v="1"/>
    <n v="1"/>
    <n v="1"/>
    <x v="24"/>
    <s v="Accountability &amp; Ownership"/>
  </r>
  <r>
    <d v="2022-11-07T00:00:00"/>
    <x v="0"/>
    <x v="3"/>
    <x v="3"/>
    <x v="1"/>
    <x v="158"/>
    <x v="25"/>
    <x v="1"/>
    <s v="Resolved by Scaled TPS independently "/>
    <n v="3"/>
    <n v="3"/>
    <n v="3"/>
    <n v="3"/>
    <n v="3"/>
    <n v="1"/>
    <n v="3"/>
    <n v="3"/>
    <s v="Accountability &amp; Ownership: Did not provide status update every 1 working day until incident is solved. (P2). Expected Follow Ups."/>
    <s v="Fail"/>
    <x v="1"/>
    <n v="1"/>
    <m/>
    <s v=""/>
    <s v=""/>
    <s v=""/>
    <s v=""/>
    <s v=""/>
    <s v=""/>
    <s v=""/>
    <s v=""/>
    <s v=""/>
    <s v=""/>
    <s v="Fail"/>
    <x v="1"/>
    <n v="1"/>
    <x v="1"/>
    <x v="1"/>
    <n v="1"/>
    <n v="1"/>
    <x v="25"/>
    <s v="Accountability &amp; Ownership"/>
  </r>
  <r>
    <d v="2022-11-10T00:00:00"/>
    <x v="0"/>
    <x v="3"/>
    <x v="3"/>
    <x v="1"/>
    <x v="159"/>
    <x v="27"/>
    <x v="3"/>
    <s v="Resolved by Scaled TPS independently "/>
    <n v="3"/>
    <n v="3"/>
    <n v="3"/>
    <n v="3"/>
    <n v="3"/>
    <n v="3"/>
    <n v="3"/>
    <n v="3"/>
    <s v="N/A"/>
    <s v="Pass"/>
    <x v="0"/>
    <n v="0"/>
    <m/>
    <s v=""/>
    <s v=""/>
    <s v=""/>
    <s v=""/>
    <s v=""/>
    <s v=""/>
    <s v=""/>
    <s v=""/>
    <s v=""/>
    <s v=""/>
    <s v="Fail"/>
    <x v="1"/>
    <n v="1"/>
    <x v="0"/>
    <x v="0"/>
    <s v=""/>
    <n v="1"/>
    <x v="0"/>
    <s v=""/>
  </r>
  <r>
    <d v="2022-11-08T00:00:00"/>
    <x v="0"/>
    <x v="3"/>
    <x v="3"/>
    <x v="1"/>
    <x v="160"/>
    <x v="27"/>
    <x v="1"/>
    <s v="Resolved by Scaled TPS independently "/>
    <n v="3"/>
    <n v="3"/>
    <n v="3"/>
    <n v="3"/>
    <n v="3"/>
    <n v="3"/>
    <n v="3"/>
    <n v="3"/>
    <s v="N/A"/>
    <s v="Pass"/>
    <x v="0"/>
    <n v="0"/>
    <m/>
    <s v=""/>
    <s v=""/>
    <s v=""/>
    <s v=""/>
    <s v=""/>
    <s v=""/>
    <s v=""/>
    <s v=""/>
    <s v=""/>
    <s v=""/>
    <s v="Fail"/>
    <x v="1"/>
    <n v="1"/>
    <x v="0"/>
    <x v="0"/>
    <s v=""/>
    <n v="1"/>
    <x v="0"/>
    <s v=""/>
  </r>
  <r>
    <d v="2022-09-01T00:00:00"/>
    <x v="2"/>
    <x v="4"/>
    <x v="4"/>
    <x v="2"/>
    <x v="161"/>
    <x v="28"/>
    <x v="5"/>
    <m/>
    <m/>
    <m/>
    <m/>
    <m/>
    <m/>
    <m/>
    <m/>
    <m/>
    <m/>
    <s v="Fail"/>
    <x v="1"/>
    <n v="1"/>
    <m/>
    <m/>
    <m/>
    <m/>
    <m/>
    <m/>
    <m/>
    <m/>
    <m/>
    <m/>
    <m/>
    <s v="Fail"/>
    <x v="1"/>
    <n v="1"/>
    <x v="1"/>
    <x v="1"/>
    <n v="1"/>
    <n v="1"/>
    <x v="26"/>
    <s v=""/>
  </r>
  <r>
    <d v="2022-08-01T00:00:00"/>
    <x v="2"/>
    <x v="5"/>
    <x v="5"/>
    <x v="3"/>
    <x v="161"/>
    <x v="28"/>
    <x v="5"/>
    <m/>
    <m/>
    <m/>
    <m/>
    <m/>
    <m/>
    <m/>
    <m/>
    <m/>
    <m/>
    <s v="Fail"/>
    <x v="1"/>
    <n v="1"/>
    <m/>
    <m/>
    <m/>
    <m/>
    <m/>
    <m/>
    <m/>
    <m/>
    <m/>
    <m/>
    <m/>
    <s v="Fail"/>
    <x v="1"/>
    <n v="1"/>
    <x v="1"/>
    <x v="1"/>
    <n v="1"/>
    <n v="1"/>
    <x v="26"/>
    <s v=""/>
  </r>
  <r>
    <d v="2022-07-01T00:00:00"/>
    <x v="2"/>
    <x v="6"/>
    <x v="6"/>
    <x v="4"/>
    <x v="161"/>
    <x v="28"/>
    <x v="5"/>
    <m/>
    <m/>
    <m/>
    <m/>
    <m/>
    <m/>
    <m/>
    <m/>
    <m/>
    <m/>
    <s v="Fail"/>
    <x v="1"/>
    <n v="1"/>
    <m/>
    <m/>
    <m/>
    <m/>
    <m/>
    <m/>
    <m/>
    <m/>
    <m/>
    <m/>
    <m/>
    <s v="Fail"/>
    <x v="1"/>
    <n v="1"/>
    <x v="1"/>
    <x v="1"/>
    <n v="1"/>
    <n v="1"/>
    <x v="26"/>
    <s v=""/>
  </r>
  <r>
    <d v="2022-06-01T00:00:00"/>
    <x v="2"/>
    <x v="7"/>
    <x v="7"/>
    <x v="5"/>
    <x v="161"/>
    <x v="28"/>
    <x v="5"/>
    <m/>
    <m/>
    <m/>
    <m/>
    <m/>
    <m/>
    <m/>
    <m/>
    <m/>
    <m/>
    <s v="Fail"/>
    <x v="1"/>
    <n v="1"/>
    <m/>
    <m/>
    <m/>
    <m/>
    <m/>
    <m/>
    <m/>
    <m/>
    <m/>
    <m/>
    <m/>
    <s v="Fail"/>
    <x v="1"/>
    <n v="1"/>
    <x v="1"/>
    <x v="1"/>
    <n v="1"/>
    <n v="1"/>
    <x v="26"/>
    <s v=""/>
  </r>
  <r>
    <d v="2022-05-01T00:00:00"/>
    <x v="2"/>
    <x v="8"/>
    <x v="8"/>
    <x v="6"/>
    <x v="161"/>
    <x v="28"/>
    <x v="5"/>
    <m/>
    <m/>
    <m/>
    <m/>
    <m/>
    <m/>
    <m/>
    <m/>
    <m/>
    <m/>
    <s v="Fail"/>
    <x v="1"/>
    <n v="1"/>
    <m/>
    <m/>
    <m/>
    <m/>
    <m/>
    <m/>
    <m/>
    <m/>
    <m/>
    <m/>
    <m/>
    <s v="Fail"/>
    <x v="1"/>
    <n v="1"/>
    <x v="1"/>
    <x v="1"/>
    <n v="1"/>
    <n v="1"/>
    <x v="26"/>
    <s v=""/>
  </r>
  <r>
    <d v="2022-04-01T00:00:00"/>
    <x v="2"/>
    <x v="9"/>
    <x v="9"/>
    <x v="7"/>
    <x v="161"/>
    <x v="28"/>
    <x v="5"/>
    <m/>
    <m/>
    <m/>
    <m/>
    <m/>
    <m/>
    <m/>
    <m/>
    <m/>
    <m/>
    <s v="Fail"/>
    <x v="1"/>
    <n v="1"/>
    <m/>
    <m/>
    <m/>
    <m/>
    <m/>
    <m/>
    <m/>
    <m/>
    <m/>
    <m/>
    <m/>
    <s v="Fail"/>
    <x v="1"/>
    <n v="1"/>
    <x v="1"/>
    <x v="1"/>
    <n v="1"/>
    <n v="1"/>
    <x v="26"/>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8B67603-B261-42AE-9EE6-97F8A4A14655}" name="PivotTable1" cacheId="0" applyNumberFormats="0" applyBorderFormats="0" applyFontFormats="0" applyPatternFormats="0" applyAlignmentFormats="0" applyWidthHeightFormats="1" dataCaption="Values" updatedVersion="7" minRefreshableVersion="3" showDrill="0" useAutoFormatting="1" rowGrandTotals="0" colGrandTotals="0" itemPrintTitles="1" createdVersion="7" indent="0" compact="0" compactData="0" multipleFieldFilters="0">
  <location ref="A6:E35" firstHeaderRow="0" firstDataRow="1" firstDataCol="1" rowPageCount="4" colPageCount="1"/>
  <pivotFields count="44">
    <pivotField compact="0" numFmtId="164" outline="0" showAll="0"/>
    <pivotField axis="axisPage" compact="0" outline="0" showAll="0">
      <items count="6">
        <item x="3"/>
        <item x="0"/>
        <item x="1"/>
        <item x="2"/>
        <item m="1" x="4"/>
        <item t="default"/>
      </items>
    </pivotField>
    <pivotField axis="axisPage" compact="0" outline="0" showAll="0">
      <items count="14">
        <item m="1" x="10"/>
        <item m="1" x="11"/>
        <item x="0"/>
        <item x="2"/>
        <item x="3"/>
        <item x="1"/>
        <item x="4"/>
        <item x="5"/>
        <item x="6"/>
        <item x="7"/>
        <item x="8"/>
        <item x="9"/>
        <item m="1" x="12"/>
        <item t="default"/>
      </items>
    </pivotField>
    <pivotField compact="0" outline="0" showAll="0"/>
    <pivotField axis="axisPage" compact="0" outline="0" showAll="0">
      <items count="13">
        <item m="1" x="10"/>
        <item m="1" x="8"/>
        <item m="1" x="9"/>
        <item x="0"/>
        <item x="1"/>
        <item x="2"/>
        <item x="3"/>
        <item x="4"/>
        <item x="5"/>
        <item x="6"/>
        <item x="7"/>
        <item m="1" x="11"/>
        <item t="default"/>
      </items>
    </pivotField>
    <pivotField dataField="1" compact="0" outline="0" showAll="0">
      <items count="163">
        <item x="48"/>
        <item x="7"/>
        <item x="54"/>
        <item x="0"/>
        <item x="5"/>
        <item x="1"/>
        <item x="52"/>
        <item x="46"/>
        <item x="13"/>
        <item x="15"/>
        <item x="9"/>
        <item x="38"/>
        <item x="21"/>
        <item x="36"/>
        <item x="25"/>
        <item x="34"/>
        <item x="44"/>
        <item x="37"/>
        <item x="4"/>
        <item x="43"/>
        <item x="6"/>
        <item x="42"/>
        <item x="51"/>
        <item x="53"/>
        <item x="24"/>
        <item x="19"/>
        <item x="8"/>
        <item x="14"/>
        <item x="50"/>
        <item x="11"/>
        <item x="32"/>
        <item x="23"/>
        <item x="33"/>
        <item x="17"/>
        <item x="35"/>
        <item x="31"/>
        <item x="22"/>
        <item x="49"/>
        <item x="45"/>
        <item x="47"/>
        <item x="29"/>
        <item x="28"/>
        <item x="30"/>
        <item x="18"/>
        <item x="40"/>
        <item x="39"/>
        <item x="27"/>
        <item x="20"/>
        <item x="10"/>
        <item x="41"/>
        <item x="3"/>
        <item x="2"/>
        <item x="12"/>
        <item x="16"/>
        <item x="26"/>
        <item x="96"/>
        <item x="65"/>
        <item x="85"/>
        <item x="107"/>
        <item x="99"/>
        <item x="61"/>
        <item x="62"/>
        <item x="75"/>
        <item x="102"/>
        <item x="83"/>
        <item x="59"/>
        <item x="56"/>
        <item x="72"/>
        <item x="58"/>
        <item x="76"/>
        <item x="80"/>
        <item x="95"/>
        <item x="87"/>
        <item x="89"/>
        <item x="106"/>
        <item x="100"/>
        <item x="104"/>
        <item x="105"/>
        <item x="70"/>
        <item x="71"/>
        <item x="91"/>
        <item x="86"/>
        <item x="84"/>
        <item x="101"/>
        <item x="68"/>
        <item x="78"/>
        <item x="81"/>
        <item x="69"/>
        <item x="63"/>
        <item x="66"/>
        <item x="64"/>
        <item x="79"/>
        <item x="67"/>
        <item x="103"/>
        <item x="98"/>
        <item x="57"/>
        <item x="82"/>
        <item x="74"/>
        <item x="73"/>
        <item x="92"/>
        <item x="90"/>
        <item x="94"/>
        <item x="93"/>
        <item x="108"/>
        <item x="88"/>
        <item x="77"/>
        <item x="97"/>
        <item x="55"/>
        <item x="60"/>
        <item x="150"/>
        <item x="141"/>
        <item x="138"/>
        <item x="140"/>
        <item x="152"/>
        <item x="157"/>
        <item x="158"/>
        <item x="120"/>
        <item x="156"/>
        <item x="125"/>
        <item x="109"/>
        <item x="110"/>
        <item x="134"/>
        <item x="129"/>
        <item x="144"/>
        <item x="148"/>
        <item x="133"/>
        <item x="126"/>
        <item x="151"/>
        <item x="160"/>
        <item x="139"/>
        <item x="124"/>
        <item x="115"/>
        <item x="116"/>
        <item x="119"/>
        <item x="135"/>
        <item x="112"/>
        <item x="114"/>
        <item x="117"/>
        <item x="113"/>
        <item x="118"/>
        <item x="146"/>
        <item x="147"/>
        <item x="137"/>
        <item x="123"/>
        <item x="111"/>
        <item x="145"/>
        <item x="127"/>
        <item x="121"/>
        <item x="143"/>
        <item x="153"/>
        <item x="159"/>
        <item x="155"/>
        <item x="122"/>
        <item x="132"/>
        <item x="131"/>
        <item x="154"/>
        <item x="128"/>
        <item x="149"/>
        <item x="142"/>
        <item x="130"/>
        <item x="136"/>
        <item x="161"/>
        <item t="default"/>
      </items>
    </pivotField>
    <pivotField axis="axisRow" compact="0" outline="0" showAll="0">
      <items count="30">
        <item x="0"/>
        <item x="3"/>
        <item x="19"/>
        <item x="8"/>
        <item x="14"/>
        <item x="11"/>
        <item x="9"/>
        <item x="12"/>
        <item x="7"/>
        <item x="25"/>
        <item x="18"/>
        <item x="2"/>
        <item x="13"/>
        <item x="22"/>
        <item x="6"/>
        <item x="15"/>
        <item x="21"/>
        <item x="27"/>
        <item x="23"/>
        <item x="5"/>
        <item x="17"/>
        <item x="1"/>
        <item x="10"/>
        <item x="4"/>
        <item x="24"/>
        <item x="26"/>
        <item x="20"/>
        <item x="16"/>
        <item x="28"/>
        <item t="default"/>
      </items>
    </pivotField>
    <pivotField axis="axisPage" compact="0" outline="0" showAll="0">
      <items count="7">
        <item x="0"/>
        <item x="1"/>
        <item x="4"/>
        <item x="3"/>
        <item x="2"/>
        <item x="5"/>
        <item t="default"/>
      </items>
    </pivotField>
    <pivotField compact="0" outline="0" showAll="0"/>
    <pivotField compact="0" outline="0" showAll="0"/>
    <pivotField compact="0" outline="0" showAll="0"/>
    <pivotField compact="0" outline="0" subtotalTop="0" showAll="0"/>
    <pivotField compact="0" outline="0" subtotalTop="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ubtotalTop="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multipleItemSelectionAllowed="1" showAll="0"/>
    <pivotField compact="0" outline="0" showAll="0"/>
    <pivotField compact="0" outline="0" showAll="0"/>
    <pivotField compact="0" outline="0" showAll="0"/>
    <pivotField compact="0" outline="0" subtotalTop="0" showAll="0"/>
    <pivotField dataField="1" compact="0" outline="0" dragToRow="0" dragToCol="0" dragToPage="0" showAll="0" defaultSubtotal="0"/>
    <pivotField dataField="1" compact="0" outline="0" dragToRow="0" dragToCol="0" dragToPage="0" showAll="0" defaultSubtotal="0"/>
    <pivotField dataField="1" compact="0" outline="0" dragToRow="0" dragToCol="0" dragToPage="0" showAll="0" defaultSubtotal="0"/>
  </pivotFields>
  <rowFields count="1">
    <field x="6"/>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6"/>
    </i>
    <i>
      <x v="27"/>
    </i>
    <i>
      <x v="28"/>
    </i>
  </rowItems>
  <colFields count="1">
    <field x="-2"/>
  </colFields>
  <colItems count="4">
    <i>
      <x/>
    </i>
    <i i="1">
      <x v="1"/>
    </i>
    <i i="2">
      <x v="2"/>
    </i>
    <i i="3">
      <x v="3"/>
    </i>
  </colItems>
  <pageFields count="4">
    <pageField fld="4" hier="-1"/>
    <pageField fld="2" hier="-1"/>
    <pageField fld="7" hier="-1"/>
    <pageField fld="1" hier="-1"/>
  </pageFields>
  <dataFields count="4">
    <dataField name="Audit Counts" fld="5" subtotal="count" baseField="6" baseItem="5"/>
    <dataField name="Overall Fail Rate %" fld="41" baseField="0" baseItem="0" numFmtId="9"/>
    <dataField name="Business Critical %" fld="42" baseField="0" baseItem="0" numFmtId="9"/>
    <dataField name="Customer Centric %" fld="43" baseField="0" baseItem="0" numFmtId="9"/>
  </dataFields>
  <formats count="5">
    <format dxfId="40">
      <pivotArea type="all" dataOnly="0" outline="0" fieldPosition="0"/>
    </format>
    <format dxfId="39">
      <pivotArea field="6" type="button" dataOnly="0" labelOnly="1" outline="0" axis="axisRow" fieldPosition="0"/>
    </format>
    <format dxfId="38">
      <pivotArea field="5" type="button" dataOnly="0" labelOnly="1" outline="0"/>
    </format>
    <format dxfId="37">
      <pivotArea dataOnly="0" labelOnly="1" outline="0" fieldPosition="0">
        <references count="1">
          <reference field="6" count="14">
            <x v="1"/>
            <x v="3"/>
            <x v="5"/>
            <x v="6"/>
            <x v="8"/>
            <x v="9"/>
            <x v="12"/>
            <x v="13"/>
            <x v="14"/>
            <x v="15"/>
            <x v="16"/>
            <x v="19"/>
            <x v="21"/>
            <x v="26"/>
          </reference>
        </references>
      </pivotArea>
    </format>
    <format dxfId="36">
      <pivotArea outline="0" fieldPosition="0">
        <references count="1">
          <reference field="4294967294" count="3" selected="0">
            <x v="1"/>
            <x v="2"/>
            <x v="3"/>
          </reference>
        </references>
      </pivotArea>
    </format>
  </formats>
  <pivotTableStyleInfo name="PivotStyleMedium14"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A7186D-4FB3-4EA6-8584-C6CF7CD06A98}" name="PivotTable1" cacheId="0" applyNumberFormats="0" applyBorderFormats="0" applyFontFormats="0" applyPatternFormats="0" applyAlignmentFormats="0" applyWidthHeightFormats="1" dataCaption="Values" updatedVersion="7" minRefreshableVersion="3" showDrill="0" useAutoFormatting="1" rowGrandTotals="0" colGrandTotals="0" itemPrintTitles="1" createdVersion="7" indent="0" compact="0" compactData="0" multipleFieldFilters="0">
  <location ref="A6:F89" firstHeaderRow="0" firstDataRow="1" firstDataCol="2" rowPageCount="4" colPageCount="1"/>
  <pivotFields count="44">
    <pivotField compact="0" numFmtId="164" outline="0" showAll="0"/>
    <pivotField axis="axisPage" compact="0" outline="0" showAll="0">
      <items count="6">
        <item x="3"/>
        <item x="0"/>
        <item x="1"/>
        <item x="2"/>
        <item m="1" x="4"/>
        <item t="default"/>
      </items>
    </pivotField>
    <pivotField axis="axisPage" compact="0" outline="0" showAll="0">
      <items count="14">
        <item m="1" x="10"/>
        <item m="1" x="11"/>
        <item x="0"/>
        <item x="2"/>
        <item x="3"/>
        <item x="1"/>
        <item x="4"/>
        <item x="5"/>
        <item x="6"/>
        <item x="7"/>
        <item x="8"/>
        <item x="9"/>
        <item m="1" x="12"/>
        <item t="default"/>
      </items>
    </pivotField>
    <pivotField compact="0" outline="0" showAll="0"/>
    <pivotField axis="axisPage" compact="0" outline="0" showAll="0">
      <items count="13">
        <item m="1" x="10"/>
        <item m="1" x="8"/>
        <item m="1" x="9"/>
        <item x="0"/>
        <item x="1"/>
        <item x="2"/>
        <item x="3"/>
        <item x="4"/>
        <item x="5"/>
        <item x="6"/>
        <item x="7"/>
        <item m="1" x="11"/>
        <item t="default"/>
      </items>
    </pivotField>
    <pivotField dataField="1" compact="0" outline="0" showAll="0">
      <items count="163">
        <item x="48"/>
        <item x="7"/>
        <item x="54"/>
        <item x="0"/>
        <item x="5"/>
        <item x="1"/>
        <item x="52"/>
        <item x="46"/>
        <item x="13"/>
        <item x="15"/>
        <item x="9"/>
        <item x="38"/>
        <item x="21"/>
        <item x="36"/>
        <item x="25"/>
        <item x="34"/>
        <item x="44"/>
        <item x="37"/>
        <item x="4"/>
        <item x="43"/>
        <item x="6"/>
        <item x="42"/>
        <item x="51"/>
        <item x="53"/>
        <item x="24"/>
        <item x="19"/>
        <item x="8"/>
        <item x="14"/>
        <item x="50"/>
        <item x="11"/>
        <item x="32"/>
        <item x="23"/>
        <item x="33"/>
        <item x="17"/>
        <item x="35"/>
        <item x="31"/>
        <item x="22"/>
        <item x="49"/>
        <item x="45"/>
        <item x="47"/>
        <item x="29"/>
        <item x="28"/>
        <item x="30"/>
        <item x="18"/>
        <item x="40"/>
        <item x="39"/>
        <item x="27"/>
        <item x="20"/>
        <item x="10"/>
        <item x="41"/>
        <item x="3"/>
        <item x="2"/>
        <item x="12"/>
        <item x="16"/>
        <item x="26"/>
        <item x="96"/>
        <item x="65"/>
        <item x="85"/>
        <item x="107"/>
        <item x="99"/>
        <item x="61"/>
        <item x="62"/>
        <item x="75"/>
        <item x="102"/>
        <item x="83"/>
        <item x="59"/>
        <item x="56"/>
        <item x="72"/>
        <item x="58"/>
        <item x="76"/>
        <item x="80"/>
        <item x="95"/>
        <item x="87"/>
        <item x="89"/>
        <item x="106"/>
        <item x="100"/>
        <item x="104"/>
        <item x="105"/>
        <item x="70"/>
        <item x="71"/>
        <item x="91"/>
        <item x="86"/>
        <item x="84"/>
        <item x="101"/>
        <item x="68"/>
        <item x="78"/>
        <item x="81"/>
        <item x="69"/>
        <item x="63"/>
        <item x="66"/>
        <item x="64"/>
        <item x="79"/>
        <item x="67"/>
        <item x="103"/>
        <item x="98"/>
        <item x="57"/>
        <item x="82"/>
        <item x="74"/>
        <item x="73"/>
        <item x="92"/>
        <item x="90"/>
        <item x="94"/>
        <item x="93"/>
        <item x="108"/>
        <item x="88"/>
        <item x="77"/>
        <item x="97"/>
        <item x="55"/>
        <item x="60"/>
        <item x="150"/>
        <item x="141"/>
        <item x="138"/>
        <item x="140"/>
        <item x="152"/>
        <item x="157"/>
        <item x="158"/>
        <item x="120"/>
        <item x="156"/>
        <item x="125"/>
        <item x="109"/>
        <item x="110"/>
        <item x="134"/>
        <item x="129"/>
        <item x="144"/>
        <item x="148"/>
        <item x="133"/>
        <item x="126"/>
        <item x="151"/>
        <item x="160"/>
        <item x="139"/>
        <item x="124"/>
        <item x="115"/>
        <item x="116"/>
        <item x="119"/>
        <item x="135"/>
        <item x="112"/>
        <item x="114"/>
        <item x="117"/>
        <item x="113"/>
        <item x="118"/>
        <item x="146"/>
        <item x="147"/>
        <item x="137"/>
        <item x="123"/>
        <item x="111"/>
        <item x="145"/>
        <item x="127"/>
        <item x="121"/>
        <item x="143"/>
        <item x="153"/>
        <item x="159"/>
        <item x="155"/>
        <item x="122"/>
        <item x="132"/>
        <item x="131"/>
        <item x="154"/>
        <item x="128"/>
        <item x="149"/>
        <item x="142"/>
        <item x="130"/>
        <item x="136"/>
        <item x="161"/>
        <item t="default"/>
      </items>
    </pivotField>
    <pivotField axis="axisRow" compact="0" outline="0" showAll="0">
      <items count="30">
        <item x="0"/>
        <item x="3"/>
        <item x="19"/>
        <item x="8"/>
        <item x="14"/>
        <item x="11"/>
        <item x="9"/>
        <item x="12"/>
        <item x="7"/>
        <item x="25"/>
        <item x="18"/>
        <item x="2"/>
        <item x="13"/>
        <item x="22"/>
        <item x="6"/>
        <item x="15"/>
        <item x="21"/>
        <item x="27"/>
        <item x="23"/>
        <item x="5"/>
        <item x="17"/>
        <item x="1"/>
        <item x="10"/>
        <item x="4"/>
        <item x="24"/>
        <item x="26"/>
        <item x="20"/>
        <item x="16"/>
        <item x="28"/>
        <item t="default"/>
      </items>
    </pivotField>
    <pivotField axis="axisPage" compact="0" outline="0" showAll="0">
      <items count="7">
        <item x="0"/>
        <item x="1"/>
        <item x="4"/>
        <item x="3"/>
        <item x="2"/>
        <item x="5"/>
        <item t="default"/>
      </items>
    </pivotField>
    <pivotField compact="0" outline="0" showAll="0"/>
    <pivotField compact="0" outline="0" showAll="0"/>
    <pivotField compact="0" outline="0" showAll="0"/>
    <pivotField compact="0" outline="0" subtotalTop="0" showAll="0"/>
    <pivotField compact="0" outline="0" subtotalTop="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ubtotalTop="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multipleItemSelectionAllowed="1" showAll="0"/>
    <pivotField compact="0" outline="0" showAll="0"/>
    <pivotField compact="0" outline="0" showAll="0"/>
    <pivotField axis="axisRow" compact="0" outline="0" showAll="0">
      <items count="29">
        <item x="3"/>
        <item x="4"/>
        <item x="9"/>
        <item x="7"/>
        <item x="5"/>
        <item x="6"/>
        <item x="2"/>
        <item x="8"/>
        <item x="1"/>
        <item x="10"/>
        <item x="16"/>
        <item x="13"/>
        <item x="12"/>
        <item x="11"/>
        <item x="15"/>
        <item x="14"/>
        <item x="18"/>
        <item x="17"/>
        <item x="24"/>
        <item x="25"/>
        <item x="20"/>
        <item x="22"/>
        <item x="19"/>
        <item x="21"/>
        <item x="23"/>
        <item x="0"/>
        <item x="26"/>
        <item m="1" x="27"/>
        <item t="default"/>
      </items>
    </pivotField>
    <pivotField compact="0" outline="0" subtotalTop="0" showAll="0"/>
    <pivotField dataField="1" compact="0" outline="0" dragToRow="0" dragToCol="0" dragToPage="0" showAll="0" defaultSubtotal="0"/>
    <pivotField dataField="1" compact="0" outline="0" dragToRow="0" dragToCol="0" dragToPage="0" showAll="0" defaultSubtotal="0"/>
    <pivotField dataField="1" compact="0" outline="0" dragToRow="0" dragToCol="0" dragToPage="0" showAll="0" defaultSubtotal="0"/>
  </pivotFields>
  <rowFields count="2">
    <field x="6"/>
    <field x="39"/>
  </rowFields>
  <rowItems count="83">
    <i>
      <x/>
      <x v="25"/>
    </i>
    <i t="default">
      <x/>
    </i>
    <i>
      <x v="1"/>
      <x v="17"/>
    </i>
    <i r="1">
      <x v="25"/>
    </i>
    <i t="default">
      <x v="1"/>
    </i>
    <i>
      <x v="2"/>
      <x v="25"/>
    </i>
    <i t="default">
      <x v="2"/>
    </i>
    <i>
      <x v="3"/>
      <x v="4"/>
    </i>
    <i r="1">
      <x v="13"/>
    </i>
    <i r="1">
      <x v="23"/>
    </i>
    <i r="1">
      <x v="25"/>
    </i>
    <i t="default">
      <x v="3"/>
    </i>
    <i>
      <x v="4"/>
      <x v="25"/>
    </i>
    <i t="default">
      <x v="4"/>
    </i>
    <i>
      <x v="5"/>
      <x v="3"/>
    </i>
    <i r="1">
      <x v="11"/>
    </i>
    <i r="1">
      <x v="24"/>
    </i>
    <i r="1">
      <x v="25"/>
    </i>
    <i t="default">
      <x v="5"/>
    </i>
    <i>
      <x v="6"/>
      <x v="5"/>
    </i>
    <i r="1">
      <x v="12"/>
    </i>
    <i r="1">
      <x v="21"/>
    </i>
    <i r="1">
      <x v="25"/>
    </i>
    <i t="default">
      <x v="6"/>
    </i>
    <i>
      <x v="7"/>
      <x v="25"/>
    </i>
    <i t="default">
      <x v="7"/>
    </i>
    <i>
      <x v="8"/>
      <x v="1"/>
    </i>
    <i r="1">
      <x v="9"/>
    </i>
    <i r="1">
      <x v="20"/>
    </i>
    <i r="1">
      <x v="25"/>
    </i>
    <i t="default">
      <x v="8"/>
    </i>
    <i>
      <x v="9"/>
      <x v="18"/>
    </i>
    <i r="1">
      <x v="19"/>
    </i>
    <i r="1">
      <x v="25"/>
    </i>
    <i t="default">
      <x v="9"/>
    </i>
    <i>
      <x v="10"/>
      <x v="25"/>
    </i>
    <i t="default">
      <x v="10"/>
    </i>
    <i>
      <x v="11"/>
      <x v="25"/>
    </i>
    <i t="default">
      <x v="11"/>
    </i>
    <i>
      <x v="12"/>
      <x v="14"/>
    </i>
    <i r="1">
      <x v="15"/>
    </i>
    <i r="1">
      <x v="25"/>
    </i>
    <i t="default">
      <x v="12"/>
    </i>
    <i>
      <x v="13"/>
      <x v="2"/>
    </i>
    <i r="1">
      <x v="25"/>
    </i>
    <i t="default">
      <x v="13"/>
    </i>
    <i>
      <x v="14"/>
      <x/>
    </i>
    <i r="1">
      <x v="22"/>
    </i>
    <i r="1">
      <x v="25"/>
    </i>
    <i t="default">
      <x v="14"/>
    </i>
    <i>
      <x v="15"/>
      <x v="10"/>
    </i>
    <i r="1">
      <x v="25"/>
    </i>
    <i t="default">
      <x v="15"/>
    </i>
    <i>
      <x v="16"/>
      <x v="7"/>
    </i>
    <i r="1">
      <x v="25"/>
    </i>
    <i t="default">
      <x v="16"/>
    </i>
    <i>
      <x v="17"/>
      <x v="25"/>
    </i>
    <i t="default">
      <x v="17"/>
    </i>
    <i>
      <x v="18"/>
      <x v="25"/>
    </i>
    <i t="default">
      <x v="18"/>
    </i>
    <i>
      <x v="19"/>
      <x v="6"/>
    </i>
    <i r="1">
      <x v="25"/>
    </i>
    <i t="default">
      <x v="19"/>
    </i>
    <i>
      <x v="20"/>
      <x v="25"/>
    </i>
    <i t="default">
      <x v="20"/>
    </i>
    <i>
      <x v="21"/>
      <x v="8"/>
    </i>
    <i r="1">
      <x v="25"/>
    </i>
    <i t="default">
      <x v="21"/>
    </i>
    <i>
      <x v="22"/>
      <x v="25"/>
    </i>
    <i t="default">
      <x v="22"/>
    </i>
    <i>
      <x v="23"/>
      <x v="25"/>
    </i>
    <i t="default">
      <x v="23"/>
    </i>
    <i>
      <x v="24"/>
      <x v="25"/>
    </i>
    <i t="default">
      <x v="24"/>
    </i>
    <i>
      <x v="25"/>
      <x v="25"/>
    </i>
    <i t="default">
      <x v="25"/>
    </i>
    <i>
      <x v="26"/>
      <x v="16"/>
    </i>
    <i r="1">
      <x v="25"/>
    </i>
    <i t="default">
      <x v="26"/>
    </i>
    <i>
      <x v="27"/>
      <x v="25"/>
    </i>
    <i t="default">
      <x v="27"/>
    </i>
    <i>
      <x v="28"/>
      <x v="26"/>
    </i>
    <i t="default">
      <x v="28"/>
    </i>
  </rowItems>
  <colFields count="1">
    <field x="-2"/>
  </colFields>
  <colItems count="4">
    <i>
      <x/>
    </i>
    <i i="1">
      <x v="1"/>
    </i>
    <i i="2">
      <x v="2"/>
    </i>
    <i i="3">
      <x v="3"/>
    </i>
  </colItems>
  <pageFields count="4">
    <pageField fld="4" hier="-1"/>
    <pageField fld="2" hier="-1"/>
    <pageField fld="7" hier="-1"/>
    <pageField fld="1" hier="-1"/>
  </pageFields>
  <dataFields count="4">
    <dataField name="Audit Counts" fld="5" subtotal="count" baseField="6" baseItem="5"/>
    <dataField name="Overall Fail Rate %" fld="41" baseField="0" baseItem="0" numFmtId="9"/>
    <dataField name="Business Critical %" fld="42" baseField="0" baseItem="0" numFmtId="9"/>
    <dataField name="Customer Centric %" fld="43" baseField="0" baseItem="0" numFmtId="9"/>
  </dataFields>
  <formats count="5">
    <format dxfId="35">
      <pivotArea type="all" dataOnly="0" outline="0" fieldPosition="0"/>
    </format>
    <format dxfId="34">
      <pivotArea field="6" type="button" dataOnly="0" labelOnly="1" outline="0" axis="axisRow" fieldPosition="0"/>
    </format>
    <format dxfId="33">
      <pivotArea field="5" type="button" dataOnly="0" labelOnly="1" outline="0"/>
    </format>
    <format dxfId="32">
      <pivotArea dataOnly="0" labelOnly="1" outline="0" fieldPosition="0">
        <references count="1">
          <reference field="6" count="14">
            <x v="1"/>
            <x v="3"/>
            <x v="5"/>
            <x v="6"/>
            <x v="8"/>
            <x v="9"/>
            <x v="12"/>
            <x v="13"/>
            <x v="14"/>
            <x v="15"/>
            <x v="16"/>
            <x v="19"/>
            <x v="21"/>
            <x v="26"/>
          </reference>
        </references>
      </pivotArea>
    </format>
    <format dxfId="31">
      <pivotArea outline="0" fieldPosition="0">
        <references count="1">
          <reference field="4294967294" count="3" selected="0">
            <x v="1"/>
            <x v="2"/>
            <x v="3"/>
          </reference>
        </references>
      </pivotArea>
    </format>
  </formats>
  <pivotTableStyleInfo name="PivotStyleMedium14"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05A16C7-52DD-4C28-829C-A8B11E701843}" name="PivotTable5" cacheId="0" applyNumberFormats="0" applyBorderFormats="0" applyFontFormats="0" applyPatternFormats="0" applyAlignmentFormats="0" applyWidthHeightFormats="1" dataCaption="Values" updatedVersion="7" minRefreshableVersion="3" showDrill="0" useAutoFormatting="1" rowGrandTotals="0" colGrandTotals="0" itemPrintTitles="1" createdVersion="7" indent="0" compact="0" compactData="0" multipleFieldFilters="0">
  <location ref="A19:C71" firstHeaderRow="1" firstDataRow="1" firstDataCol="3" rowPageCount="1" colPageCount="1"/>
  <pivotFields count="44">
    <pivotField compact="0" numFmtId="164" outline="0" showAll="0" defaultSubtotal="0">
      <extLst>
        <ext xmlns:x14="http://schemas.microsoft.com/office/spreadsheetml/2009/9/main" uri="{2946ED86-A175-432a-8AC1-64E0C546D7DE}">
          <x14:pivotField fillDownLabels="1"/>
        </ext>
      </extLst>
    </pivotField>
    <pivotField axis="axisRow" compact="0" outline="0" showAll="0" defaultSubtotal="0">
      <items count="5">
        <item x="3"/>
        <item x="0"/>
        <item sd="0" x="1"/>
        <item x="2"/>
        <item m="1" x="4"/>
      </items>
      <extLst>
        <ext xmlns:x14="http://schemas.microsoft.com/office/spreadsheetml/2009/9/main" uri="{2946ED86-A175-432a-8AC1-64E0C546D7DE}">
          <x14:pivotField fillDownLabels="1"/>
        </ext>
      </extLst>
    </pivotField>
    <pivotField axis="axisRow" compact="0" outline="0" showAll="0" defaultSubtotal="0">
      <items count="13">
        <item m="1" x="10"/>
        <item m="1" x="11"/>
        <item x="0"/>
        <item x="2"/>
        <item x="3"/>
        <item x="1"/>
        <item x="4"/>
        <item x="5"/>
        <item x="6"/>
        <item x="7"/>
        <item x="8"/>
        <item x="9"/>
        <item m="1" x="12"/>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62">
        <item x="48"/>
        <item x="7"/>
        <item x="54"/>
        <item x="0"/>
        <item x="5"/>
        <item x="1"/>
        <item x="52"/>
        <item x="46"/>
        <item x="13"/>
        <item x="15"/>
        <item x="9"/>
        <item x="38"/>
        <item x="21"/>
        <item x="36"/>
        <item x="25"/>
        <item x="34"/>
        <item x="44"/>
        <item x="37"/>
        <item x="4"/>
        <item x="43"/>
        <item x="6"/>
        <item x="42"/>
        <item x="51"/>
        <item x="53"/>
        <item x="24"/>
        <item x="19"/>
        <item x="8"/>
        <item x="14"/>
        <item x="50"/>
        <item x="11"/>
        <item x="32"/>
        <item x="23"/>
        <item x="33"/>
        <item x="17"/>
        <item x="35"/>
        <item x="31"/>
        <item x="22"/>
        <item x="49"/>
        <item x="45"/>
        <item x="47"/>
        <item x="29"/>
        <item x="28"/>
        <item x="30"/>
        <item x="18"/>
        <item x="40"/>
        <item x="39"/>
        <item x="27"/>
        <item x="20"/>
        <item x="10"/>
        <item x="41"/>
        <item x="3"/>
        <item x="2"/>
        <item x="12"/>
        <item x="16"/>
        <item x="26"/>
        <item x="96"/>
        <item x="65"/>
        <item x="85"/>
        <item x="107"/>
        <item x="99"/>
        <item x="61"/>
        <item x="62"/>
        <item x="75"/>
        <item x="102"/>
        <item x="83"/>
        <item x="59"/>
        <item x="56"/>
        <item x="72"/>
        <item x="58"/>
        <item x="76"/>
        <item x="80"/>
        <item x="95"/>
        <item x="87"/>
        <item x="89"/>
        <item x="106"/>
        <item x="100"/>
        <item x="104"/>
        <item x="105"/>
        <item x="70"/>
        <item x="71"/>
        <item x="91"/>
        <item x="86"/>
        <item x="84"/>
        <item x="101"/>
        <item x="68"/>
        <item x="78"/>
        <item x="81"/>
        <item x="69"/>
        <item x="63"/>
        <item x="66"/>
        <item x="64"/>
        <item x="79"/>
        <item x="67"/>
        <item x="103"/>
        <item x="98"/>
        <item x="57"/>
        <item x="82"/>
        <item x="74"/>
        <item x="73"/>
        <item x="92"/>
        <item x="90"/>
        <item x="94"/>
        <item x="93"/>
        <item x="108"/>
        <item x="88"/>
        <item x="77"/>
        <item x="97"/>
        <item x="55"/>
        <item x="60"/>
        <item x="150"/>
        <item x="141"/>
        <item x="138"/>
        <item x="140"/>
        <item x="152"/>
        <item x="157"/>
        <item x="158"/>
        <item x="120"/>
        <item x="156"/>
        <item x="125"/>
        <item x="109"/>
        <item x="110"/>
        <item x="134"/>
        <item x="129"/>
        <item x="144"/>
        <item x="148"/>
        <item x="133"/>
        <item x="126"/>
        <item x="151"/>
        <item x="160"/>
        <item x="139"/>
        <item x="124"/>
        <item x="115"/>
        <item x="116"/>
        <item x="119"/>
        <item x="135"/>
        <item x="112"/>
        <item x="114"/>
        <item x="117"/>
        <item x="113"/>
        <item x="118"/>
        <item x="146"/>
        <item x="147"/>
        <item x="137"/>
        <item x="123"/>
        <item x="111"/>
        <item x="145"/>
        <item x="127"/>
        <item x="121"/>
        <item x="143"/>
        <item x="153"/>
        <item x="159"/>
        <item x="155"/>
        <item x="122"/>
        <item x="132"/>
        <item x="131"/>
        <item x="154"/>
        <item x="128"/>
        <item x="149"/>
        <item x="142"/>
        <item x="130"/>
        <item x="136"/>
        <item x="16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name="Overall" axis="axisPage" compact="0" outline="0" multipleItemSelectionAllowed="1" showAll="0" defaultSubtotal="0">
      <items count="3">
        <item h="1" x="1"/>
        <item x="2"/>
        <item h="1"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dragToRow="0" dragToCol="0" dragToPage="0" showAll="0" defaultSubtotal="0">
      <extLst>
        <ext xmlns:x14="http://schemas.microsoft.com/office/spreadsheetml/2009/9/main" uri="{2946ED86-A175-432a-8AC1-64E0C546D7DE}">
          <x14:pivotField fillDownLabels="1"/>
        </ext>
      </extLst>
    </pivotField>
    <pivotField compact="0" outline="0" subtotalTop="0" dragToRow="0" dragToCol="0" dragToPage="0" showAll="0" defaultSubtotal="0">
      <extLst>
        <ext xmlns:x14="http://schemas.microsoft.com/office/spreadsheetml/2009/9/main" uri="{2946ED86-A175-432a-8AC1-64E0C546D7DE}">
          <x14:pivotField fillDownLabels="1"/>
        </ext>
      </extLst>
    </pivotField>
    <pivotField compact="0" outline="0" subtotalTop="0" dragToRow="0" dragToCol="0" dragToPage="0" showAll="0" defaultSubtotal="0">
      <extLst>
        <ext xmlns:x14="http://schemas.microsoft.com/office/spreadsheetml/2009/9/main" uri="{2946ED86-A175-432a-8AC1-64E0C546D7DE}">
          <x14:pivotField fillDownLabels="1"/>
        </ext>
      </extLst>
    </pivotField>
  </pivotFields>
  <rowFields count="3">
    <field x="2"/>
    <field x="1"/>
    <field x="5"/>
  </rowFields>
  <rowItems count="52">
    <i>
      <x v="2"/>
      <x/>
      <x v="11"/>
    </i>
    <i r="2">
      <x v="44"/>
    </i>
    <i r="1">
      <x v="1"/>
      <x v="6"/>
    </i>
    <i r="2">
      <x v="28"/>
    </i>
    <i r="1">
      <x v="3"/>
      <x v="10"/>
    </i>
    <i r="2">
      <x v="12"/>
    </i>
    <i r="2">
      <x v="13"/>
    </i>
    <i r="2">
      <x v="15"/>
    </i>
    <i r="2">
      <x v="24"/>
    </i>
    <i r="2">
      <x v="27"/>
    </i>
    <i r="2">
      <x v="34"/>
    </i>
    <i r="2">
      <x v="35"/>
    </i>
    <i r="2">
      <x v="41"/>
    </i>
    <i r="2">
      <x v="42"/>
    </i>
    <i r="2">
      <x v="46"/>
    </i>
    <i r="2">
      <x v="52"/>
    </i>
    <i r="2">
      <x v="53"/>
    </i>
    <i r="2">
      <x v="54"/>
    </i>
    <i>
      <x v="3"/>
      <x/>
      <x v="100"/>
    </i>
    <i r="1">
      <x v="1"/>
      <x v="59"/>
    </i>
    <i r="2">
      <x v="76"/>
    </i>
    <i r="2">
      <x v="103"/>
    </i>
    <i r="1">
      <x v="3"/>
      <x v="56"/>
    </i>
    <i r="2">
      <x v="60"/>
    </i>
    <i r="2">
      <x v="64"/>
    </i>
    <i r="2">
      <x v="65"/>
    </i>
    <i r="2">
      <x v="66"/>
    </i>
    <i r="2">
      <x v="67"/>
    </i>
    <i r="2">
      <x v="69"/>
    </i>
    <i r="2">
      <x v="70"/>
    </i>
    <i r="2">
      <x v="78"/>
    </i>
    <i r="2">
      <x v="88"/>
    </i>
    <i r="2">
      <x v="92"/>
    </i>
    <i r="2">
      <x v="95"/>
    </i>
    <i r="2">
      <x v="96"/>
    </i>
    <i r="2">
      <x v="107"/>
    </i>
    <i>
      <x v="4"/>
      <x/>
      <x v="109"/>
    </i>
    <i r="2">
      <x v="124"/>
    </i>
    <i r="1">
      <x v="1"/>
      <x v="113"/>
    </i>
    <i r="2">
      <x v="149"/>
    </i>
    <i r="2">
      <x v="151"/>
    </i>
    <i r="1">
      <x v="2"/>
    </i>
    <i r="1">
      <x v="3"/>
      <x v="119"/>
    </i>
    <i r="2">
      <x v="120"/>
    </i>
    <i r="2">
      <x v="122"/>
    </i>
    <i r="2">
      <x v="130"/>
    </i>
    <i r="2">
      <x v="131"/>
    </i>
    <i r="2">
      <x v="138"/>
    </i>
    <i r="2">
      <x v="139"/>
    </i>
    <i r="2">
      <x v="144"/>
    </i>
    <i r="2">
      <x v="146"/>
    </i>
    <i>
      <x v="5"/>
      <x v="3"/>
      <x v="25"/>
    </i>
  </rowItems>
  <colItems count="1">
    <i/>
  </colItems>
  <pageFields count="1">
    <pageField fld="35" hier="-1"/>
  </pageFields>
  <formats count="9">
    <format dxfId="30">
      <pivotArea type="all" dataOnly="0" outline="0" fieldPosition="0"/>
    </format>
    <format dxfId="29">
      <pivotArea field="2" type="button" dataOnly="0" labelOnly="1" outline="0" axis="axisRow" fieldPosition="0"/>
    </format>
    <format dxfId="28">
      <pivotArea field="1" type="button" dataOnly="0" labelOnly="1" outline="0" axis="axisRow" fieldPosition="1"/>
    </format>
    <format dxfId="27">
      <pivotArea dataOnly="0" labelOnly="1" outline="0" fieldPosition="0">
        <references count="1">
          <reference field="2" count="0"/>
        </references>
      </pivotArea>
    </format>
    <format dxfId="26">
      <pivotArea dataOnly="0" labelOnly="1" outline="0" fieldPosition="0">
        <references count="2">
          <reference field="1" count="0"/>
          <reference field="2" count="1" selected="0">
            <x v="2"/>
          </reference>
        </references>
      </pivotArea>
    </format>
    <format dxfId="25">
      <pivotArea dataOnly="0" labelOnly="1" outline="0" fieldPosition="0">
        <references count="2">
          <reference field="1" count="0"/>
          <reference field="2" count="1" selected="0">
            <x v="3"/>
          </reference>
        </references>
      </pivotArea>
    </format>
    <format dxfId="24">
      <pivotArea dataOnly="0" labelOnly="1" outline="0" fieldPosition="0">
        <references count="2">
          <reference field="1" count="0"/>
          <reference field="2" count="1" selected="0">
            <x v="4"/>
          </reference>
        </references>
      </pivotArea>
    </format>
    <format dxfId="23">
      <pivotArea dataOnly="0" labelOnly="1" outline="0" fieldPosition="0">
        <references count="2">
          <reference field="1" count="1">
            <x v="3"/>
          </reference>
          <reference field="2" count="1" selected="0">
            <x v="5"/>
          </reference>
        </references>
      </pivotArea>
    </format>
    <format dxfId="22">
      <pivotArea field="35" type="button" dataOnly="0" labelOnly="1" outline="0" axis="axisPage" fieldPosition="0"/>
    </format>
  </formats>
  <pivotTableStyleInfo name="PivotStyleLight19"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D13852F-2142-400F-B080-6750550555E6}" name="PivotTable4"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22">
  <location ref="AP5:AT9" firstHeaderRow="1" firstDataRow="2" firstDataCol="1" rowPageCount="2" colPageCount="1"/>
  <pivotFields count="44">
    <pivotField numFmtId="164" showAll="0"/>
    <pivotField axis="axisCol" showAll="0">
      <items count="6">
        <item x="3"/>
        <item x="0"/>
        <item x="1"/>
        <item x="2"/>
        <item m="1" x="4"/>
        <item t="default"/>
      </items>
    </pivotField>
    <pivotField axis="axisRow" showAll="0" sortType="descending">
      <items count="14">
        <item m="1" x="12"/>
        <item x="1"/>
        <item x="3"/>
        <item x="2"/>
        <item x="0"/>
        <item x="4"/>
        <item x="5"/>
        <item x="6"/>
        <item x="7"/>
        <item x="8"/>
        <item x="9"/>
        <item m="1" x="11"/>
        <item m="1" x="10"/>
        <item t="default"/>
      </items>
    </pivotField>
    <pivotField axis="axisPage" multipleItemSelectionAllowed="1" showAll="0">
      <items count="12">
        <item x="1"/>
        <item x="3"/>
        <item x="2"/>
        <item h="1" x="0"/>
        <item h="1" x="4"/>
        <item h="1" x="5"/>
        <item h="1" x="6"/>
        <item h="1" x="7"/>
        <item h="1" x="8"/>
        <item h="1" x="9"/>
        <item h="1" m="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dataField="1" multipleItemSelectionAllowed="1" showAll="0">
      <items count="4">
        <item h="1" x="1"/>
        <item x="2"/>
        <item h="1" x="0"/>
        <item t="default"/>
      </items>
    </pivotField>
    <pivotField showAll="0"/>
    <pivotField showAll="0"/>
    <pivotField showAll="0"/>
    <pivotField showAll="0"/>
    <pivotField showAll="0"/>
    <pivotField dragToRow="0" dragToCol="0" dragToPage="0" showAll="0" defaultSubtotal="0"/>
    <pivotField dragToRow="0" dragToCol="0" dragToPage="0" showAll="0" defaultSubtotal="0"/>
    <pivotField dragToRow="0" dragToCol="0" dragToPage="0" showAll="0" defaultSubtotal="0"/>
  </pivotFields>
  <rowFields count="1">
    <field x="2"/>
  </rowFields>
  <rowItems count="3">
    <i>
      <x v="1"/>
    </i>
    <i>
      <x v="2"/>
    </i>
    <i>
      <x v="3"/>
    </i>
  </rowItems>
  <colFields count="1">
    <field x="1"/>
  </colFields>
  <colItems count="4">
    <i>
      <x/>
    </i>
    <i>
      <x v="1"/>
    </i>
    <i>
      <x v="2"/>
    </i>
    <i>
      <x v="3"/>
    </i>
  </colItems>
  <pageFields count="2">
    <pageField fld="3" hier="-1"/>
    <pageField fld="35" hier="-1"/>
  </pageFields>
  <dataFields count="1">
    <dataField name="Count of Attribute Fail Rate" fld="35" subtotal="count" baseField="0" baseItem="0"/>
  </dataFields>
  <formats count="6">
    <format dxfId="5">
      <pivotArea outline="0" collapsedLevelsAreSubtotals="1" fieldPosition="0"/>
    </format>
    <format dxfId="4">
      <pivotArea dataOnly="0" labelOnly="1" fieldPosition="0">
        <references count="1">
          <reference field="1" count="0"/>
        </references>
      </pivotArea>
    </format>
    <format dxfId="3">
      <pivotArea dataOnly="0" labelOnly="1" grandRow="1" outline="0" fieldPosition="0"/>
    </format>
    <format dxfId="2">
      <pivotArea outline="0" collapsedLevelsAreSubtotals="1" fieldPosition="0"/>
    </format>
    <format dxfId="1">
      <pivotArea dataOnly="0" labelOnly="1" fieldPosition="0">
        <references count="1">
          <reference field="1" count="0"/>
        </references>
      </pivotArea>
    </format>
    <format dxfId="0">
      <pivotArea dataOnly="0" labelOnly="1" grandRow="1" outline="0" fieldPosition="0"/>
    </format>
  </formats>
  <chartFormats count="4">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0"/>
          </reference>
        </references>
      </pivotArea>
    </chartFormat>
    <chartFormat chart="12"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40312E9-C8A0-4817-A0D4-CD529CADE681}"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6">
  <location ref="B6:C9" firstHeaderRow="1" firstDataRow="1" firstDataCol="1" rowPageCount="4" colPageCount="1"/>
  <pivotFields count="44">
    <pivotField numFmtId="164" showAll="0"/>
    <pivotField axis="axisPage" showAll="0">
      <items count="6">
        <item x="3"/>
        <item x="0"/>
        <item x="1"/>
        <item x="2"/>
        <item m="1" x="4"/>
        <item t="default"/>
      </items>
    </pivotField>
    <pivotField axis="axisPage" showAll="0">
      <items count="14">
        <item x="0"/>
        <item x="2"/>
        <item x="3"/>
        <item x="1"/>
        <item m="1" x="10"/>
        <item m="1" x="11"/>
        <item x="4"/>
        <item x="5"/>
        <item x="6"/>
        <item x="7"/>
        <item x="8"/>
        <item x="9"/>
        <item m="1" x="12"/>
        <item t="default"/>
      </items>
    </pivotField>
    <pivotField showAll="0"/>
    <pivotField axis="axisPage" showAll="0">
      <items count="13">
        <item m="1" x="8"/>
        <item m="1" x="9"/>
        <item m="1" x="10"/>
        <item x="0"/>
        <item x="1"/>
        <item x="2"/>
        <item x="3"/>
        <item x="4"/>
        <item x="5"/>
        <item x="6"/>
        <item x="7"/>
        <item m="1" x="11"/>
        <item t="default"/>
      </items>
    </pivotField>
    <pivotField showAll="0"/>
    <pivotField showAll="0"/>
    <pivotField axis="axisPage" showAll="0">
      <items count="7">
        <item x="0"/>
        <item x="1"/>
        <item x="4"/>
        <item x="3"/>
        <item x="2"/>
        <item x="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n="P" x="0"/>
        <item n="N" x="2"/>
        <item n="F" x="1"/>
        <item t="default"/>
      </items>
    </pivotField>
    <pivotField axis="axisRow" dataField="1" showAll="0">
      <items count="3">
        <item n="P" x="0"/>
        <item n="F" x="1"/>
        <item t="default"/>
      </items>
    </pivotField>
    <pivotField showAll="0"/>
    <pivotField showAll="0"/>
    <pivotField showAll="0"/>
    <pivotField showAll="0"/>
    <pivotField dragToRow="0" dragToCol="0" dragToPage="0" showAll="0" defaultSubtotal="0"/>
    <pivotField dragToRow="0" dragToCol="0" dragToPage="0" showAll="0" defaultSubtotal="0"/>
    <pivotField dragToRow="0" dragToCol="0" dragToPage="0" showAll="0" defaultSubtotal="0"/>
  </pivotFields>
  <rowFields count="1">
    <field x="36"/>
  </rowFields>
  <rowItems count="3">
    <i>
      <x/>
    </i>
    <i>
      <x v="1"/>
    </i>
    <i t="grand">
      <x/>
    </i>
  </rowItems>
  <colItems count="1">
    <i/>
  </colItems>
  <pageFields count="4">
    <pageField fld="4" item="4" hier="-1"/>
    <pageField fld="2" hier="-1"/>
    <pageField fld="7" hier="-1"/>
    <pageField fld="1" hier="-1"/>
  </pageFields>
  <dataFields count="1">
    <dataField name="Count of Attribute Fail Rate PF" fld="36" subtotal="count" showDataAs="percentOfCol" baseField="31" baseItem="0" numFmtId="9"/>
  </dataFields>
  <formats count="6">
    <format dxfId="11">
      <pivotArea outline="0" collapsedLevelsAreSubtotals="1" fieldPosition="0"/>
    </format>
    <format dxfId="10">
      <pivotArea outline="0" collapsedLevelsAreSubtotals="1" fieldPosition="0"/>
    </format>
    <format dxfId="9">
      <pivotArea dataOnly="0" labelOnly="1" outline="0" axis="axisValues" fieldPosition="0"/>
    </format>
    <format dxfId="8">
      <pivotArea field="35" type="button" dataOnly="0" labelOnly="1" outline="0"/>
    </format>
    <format dxfId="7">
      <pivotArea outline="0" fieldPosition="0">
        <references count="1">
          <reference field="4294967294" count="1">
            <x v="0"/>
          </reference>
        </references>
      </pivotArea>
    </format>
    <format dxfId="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1136258-14BE-450F-8B59-BA61AA1D6193}" name="PivotTable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2">
  <location ref="N6:O9" firstHeaderRow="1" firstDataRow="1" firstDataCol="1" rowPageCount="4" colPageCount="1"/>
  <pivotFields count="44">
    <pivotField numFmtId="164" showAll="0"/>
    <pivotField axis="axisPage" showAll="0">
      <items count="6">
        <item x="3"/>
        <item x="0"/>
        <item x="1"/>
        <item x="2"/>
        <item m="1" x="4"/>
        <item t="default"/>
      </items>
    </pivotField>
    <pivotField axis="axisPage" showAll="0">
      <items count="14">
        <item x="0"/>
        <item x="2"/>
        <item x="3"/>
        <item x="1"/>
        <item m="1" x="10"/>
        <item m="1" x="11"/>
        <item x="4"/>
        <item x="5"/>
        <item x="6"/>
        <item x="7"/>
        <item x="8"/>
        <item x="9"/>
        <item m="1" x="12"/>
        <item t="default"/>
      </items>
    </pivotField>
    <pivotField showAll="0"/>
    <pivotField axis="axisPage" showAll="0">
      <items count="13">
        <item m="1" x="8"/>
        <item m="1" x="9"/>
        <item m="1" x="10"/>
        <item x="0"/>
        <item x="1"/>
        <item x="2"/>
        <item x="3"/>
        <item x="4"/>
        <item x="5"/>
        <item x="6"/>
        <item x="7"/>
        <item m="1" x="11"/>
        <item t="default"/>
      </items>
    </pivotField>
    <pivotField showAll="0"/>
    <pivotField showAll="0"/>
    <pivotField axis="axisPage" showAll="0">
      <items count="7">
        <item x="0"/>
        <item x="1"/>
        <item x="4"/>
        <item x="3"/>
        <item x="2"/>
        <item x="5"/>
        <item t="default"/>
      </items>
    </pivotField>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n="P" x="0"/>
        <item n="F"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 dragToRow="0" dragToCol="0" dragToPage="0" showAll="0" defaultSubtotal="0"/>
    <pivotField dragToRow="0" dragToCol="0" dragToPage="0" showAll="0" defaultSubtotal="0"/>
  </pivotFields>
  <rowFields count="1">
    <field x="19"/>
  </rowFields>
  <rowItems count="3">
    <i>
      <x/>
    </i>
    <i>
      <x v="1"/>
    </i>
    <i t="grand">
      <x/>
    </i>
  </rowItems>
  <colItems count="1">
    <i/>
  </colItems>
  <pageFields count="4">
    <pageField fld="4" item="4" hier="-1"/>
    <pageField fld="2" hier="-1"/>
    <pageField fld="7" hier="-1"/>
    <pageField fld="1" hier="-1"/>
  </pageFields>
  <dataFields count="1">
    <dataField name="Count of Compliance Critical PF" fld="19" subtotal="count" showDataAs="percentOfCol" baseField="18" baseItem="1" numFmtId="9"/>
  </dataFields>
  <formats count="4">
    <format dxfId="15">
      <pivotArea outline="0" collapsedLevelsAreSubtotals="1" fieldPosition="0"/>
    </format>
    <format dxfId="14">
      <pivotArea dataOnly="0" labelOnly="1" outline="0" axis="axisValues" fieldPosition="0"/>
    </format>
    <format dxfId="13">
      <pivotArea outline="0" fieldPosition="0">
        <references count="1">
          <reference field="4294967294" count="1">
            <x v="0"/>
          </reference>
        </references>
      </pivotArea>
    </format>
    <format dxfId="12">
      <pivotArea outline="0" collapsedLevelsAreSubtotals="1" fieldPosition="0"/>
    </format>
  </formats>
  <chartFormats count="3">
    <chartFormat chart="7" format="12" series="1">
      <pivotArea type="data" outline="0" fieldPosition="0">
        <references count="1">
          <reference field="4294967294" count="1" selected="0">
            <x v="0"/>
          </reference>
        </references>
      </pivotArea>
    </chartFormat>
    <chartFormat chart="7" format="13">
      <pivotArea type="data" outline="0" fieldPosition="0">
        <references count="2">
          <reference field="4294967294" count="1" selected="0">
            <x v="0"/>
          </reference>
          <reference field="19" count="1" selected="0">
            <x v="0"/>
          </reference>
        </references>
      </pivotArea>
    </chartFormat>
    <chartFormat chart="7" format="14">
      <pivotArea type="data" outline="0" fieldPosition="0">
        <references count="2">
          <reference field="4294967294" count="1" selected="0">
            <x v="0"/>
          </reference>
          <reference field="19"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6952B23-D796-494E-A88C-350FE0052464}" name="PivotTable2"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6">
  <location ref="H6:I9" firstHeaderRow="1" firstDataRow="1" firstDataCol="1" rowPageCount="4" colPageCount="1"/>
  <pivotFields count="44">
    <pivotField numFmtId="164" showAll="0"/>
    <pivotField axis="axisPage" showAll="0">
      <items count="6">
        <item x="3"/>
        <item x="0"/>
        <item x="1"/>
        <item x="2"/>
        <item m="1" x="4"/>
        <item t="default"/>
      </items>
    </pivotField>
    <pivotField axis="axisPage" showAll="0">
      <items count="14">
        <item x="0"/>
        <item x="2"/>
        <item x="3"/>
        <item x="1"/>
        <item m="1" x="10"/>
        <item m="1" x="11"/>
        <item x="4"/>
        <item x="5"/>
        <item x="6"/>
        <item x="7"/>
        <item x="8"/>
        <item x="9"/>
        <item m="1" x="12"/>
        <item t="default"/>
      </items>
    </pivotField>
    <pivotField showAll="0"/>
    <pivotField axis="axisPage" showAll="0">
      <items count="13">
        <item m="1" x="8"/>
        <item m="1" x="9"/>
        <item m="1" x="10"/>
        <item x="0"/>
        <item x="1"/>
        <item x="2"/>
        <item x="3"/>
        <item x="4"/>
        <item x="5"/>
        <item x="6"/>
        <item x="7"/>
        <item m="1" x="11"/>
        <item t="default"/>
      </items>
    </pivotField>
    <pivotField showAll="0"/>
    <pivotField showAll="0"/>
    <pivotField axis="axisPage" showAll="0">
      <items count="7">
        <item x="0"/>
        <item x="1"/>
        <item x="4"/>
        <item x="3"/>
        <item x="2"/>
        <item x="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n="P" x="0"/>
        <item n="F" x="1"/>
        <item t="default"/>
      </items>
    </pivotField>
    <pivotField showAll="0"/>
    <pivotField showAll="0"/>
    <pivotField showAll="0"/>
    <pivotField showAll="0"/>
    <pivotField showAll="0"/>
    <pivotField showAll="0"/>
    <pivotField showAll="0"/>
    <pivotField dragToRow="0" dragToCol="0" dragToPage="0" showAll="0" defaultSubtotal="0"/>
    <pivotField dragToRow="0" dragToCol="0" dragToPage="0" showAll="0" defaultSubtotal="0"/>
    <pivotField dragToRow="0" dragToCol="0" dragToPage="0" showAll="0" defaultSubtotal="0"/>
  </pivotFields>
  <rowFields count="1">
    <field x="33"/>
  </rowFields>
  <rowItems count="3">
    <i>
      <x/>
    </i>
    <i>
      <x v="1"/>
    </i>
    <i t="grand">
      <x/>
    </i>
  </rowItems>
  <colItems count="1">
    <i/>
  </colItems>
  <pageFields count="4">
    <pageField fld="4" item="4" hier="-1"/>
    <pageField fld="2" hier="-1"/>
    <pageField fld="7" hier="-1"/>
    <pageField fld="1" hier="-1"/>
  </pageFields>
  <dataFields count="1">
    <dataField name="Count of Business Critical PF" fld="33" subtotal="count" showDataAs="percentOfCol" baseField="30" baseItem="0" numFmtId="9"/>
  </dataFields>
  <formats count="5">
    <format dxfId="20">
      <pivotArea outline="0" collapsedLevelsAreSubtotals="1" fieldPosition="0"/>
    </format>
    <format dxfId="19">
      <pivotArea outline="0" collapsedLevelsAreSubtotals="1" fieldPosition="0"/>
    </format>
    <format dxfId="18">
      <pivotArea dataOnly="0" labelOnly="1" outline="0" axis="axisValues" fieldPosition="0"/>
    </format>
    <format dxfId="17">
      <pivotArea outline="0" fieldPosition="0">
        <references count="1">
          <reference field="4294967294" count="1">
            <x v="0"/>
          </reference>
        </references>
      </pivotArea>
    </format>
    <format dxfId="16">
      <pivotArea outline="0" collapsedLevelsAreSubtotals="1" fieldPosition="0"/>
    </format>
  </formats>
  <chartFormats count="3">
    <chartFormat chart="5" format="12" series="1">
      <pivotArea type="data" outline="0" fieldPosition="0">
        <references count="1">
          <reference field="4294967294" count="1" selected="0">
            <x v="0"/>
          </reference>
        </references>
      </pivotArea>
    </chartFormat>
    <chartFormat chart="5" format="13">
      <pivotArea type="data" outline="0" fieldPosition="0">
        <references count="2">
          <reference field="4294967294" count="1" selected="0">
            <x v="0"/>
          </reference>
          <reference field="33" count="1" selected="0">
            <x v="0"/>
          </reference>
        </references>
      </pivotArea>
    </chartFormat>
    <chartFormat chart="5" format="14">
      <pivotArea type="data" outline="0" fieldPosition="0">
        <references count="2">
          <reference field="4294967294" count="1" selected="0">
            <x v="0"/>
          </reference>
          <reference field="3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 xr10:uid="{0E35B8CA-153E-47C0-8823-7CA50C3C835F}" sourceName="Week">
  <pivotTables>
    <pivotTable tabId="13" name="PivotTable5"/>
  </pivotTables>
  <data>
    <tabular pivotCacheId="156792326">
      <items count="13">
        <i x="0" s="1"/>
        <i x="2" s="1"/>
        <i x="3" s="1"/>
        <i x="1" s="1"/>
        <i x="10" s="1" nd="1"/>
        <i x="11" s="1" nd="1"/>
        <i x="9" s="1" nd="1"/>
        <i x="8" s="1" nd="1"/>
        <i x="7" s="1" nd="1"/>
        <i x="6" s="1" nd="1"/>
        <i x="5" s="1" nd="1"/>
        <i x="4" s="1" nd="1"/>
        <i x="12"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64805075-7009-47DC-943C-FDF8EFE3929C}" sourceName="Region">
  <pivotTables>
    <pivotTable tabId="13" name="PivotTable5"/>
  </pivotTables>
  <data>
    <tabular pivotCacheId="156792326">
      <items count="5">
        <i x="3" s="1"/>
        <i x="0" s="1"/>
        <i x="1" s="1"/>
        <i x="2" s="1"/>
        <i x="4"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12267A4F-2370-41E1-AF39-E6CA98B8F3D6}" sourceName="Region">
  <pivotTables>
    <pivotTable tabId="15" name="PivotTable1"/>
  </pivotTables>
  <data>
    <tabular pivotCacheId="156792326">
      <items count="5">
        <i x="3" s="1"/>
        <i x="0" s="1"/>
        <i x="1" s="1"/>
        <i x="2" s="1"/>
        <i x="4"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1" xr10:uid="{8688D9F2-E391-45D9-AB8E-118D860864C2}" sourceName="Week">
  <pivotTables>
    <pivotTable tabId="15" name="PivotTable1"/>
  </pivotTables>
  <data>
    <tabular pivotCacheId="156792326">
      <items count="13">
        <i x="9" s="1"/>
        <i x="8" s="1"/>
        <i x="7" s="1"/>
        <i x="6" s="1"/>
        <i x="5" s="1"/>
        <i x="4" s="1"/>
        <i x="0" s="1"/>
        <i x="2" s="1"/>
        <i x="3" s="1"/>
        <i x="1" s="1"/>
        <i x="10" s="1" nd="1"/>
        <i x="11" s="1" nd="1"/>
        <i x="12"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28ACE154-A60E-4CFF-82FE-DF2D7F27CCD9}" sourceName="Month">
  <pivotTables>
    <pivotTable tabId="15" name="PivotTable1"/>
  </pivotTables>
  <data>
    <tabular pivotCacheId="156792326">
      <items count="12">
        <i x="7" s="1"/>
        <i x="6" s="1"/>
        <i x="5" s="1"/>
        <i x="4" s="1"/>
        <i x="3" s="1"/>
        <i x="2" s="1"/>
        <i x="0" s="1"/>
        <i x="1" s="1"/>
        <i x="10" s="1" nd="1"/>
        <i x="8" s="1" nd="1"/>
        <i x="9" s="1" nd="1"/>
        <i x="11"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Pillar" xr10:uid="{DC48F1E8-E899-4DF1-BD87-18AE5ECF3C74}" sourceName="Product Pillar">
  <pivotTables>
    <pivotTable tabId="15" name="PivotTable1"/>
  </pivotTables>
  <data>
    <tabular pivotCacheId="156792326">
      <items count="6">
        <i x="0" s="1"/>
        <i x="1" s="1"/>
        <i x="4" s="1"/>
        <i x="3" s="1"/>
        <i x="2" s="1"/>
        <i x="5" s="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1" xr10:uid="{CB5576AE-E9F7-427D-BC69-E71DB40F3F83}" sourceName="Region">
  <pivotTables>
    <pivotTable tabId="18" name="PivotTable1"/>
  </pivotTables>
  <data>
    <tabular pivotCacheId="156792326">
      <items count="5">
        <i x="3" s="1"/>
        <i x="0" s="1"/>
        <i x="1" s="1"/>
        <i x="2" s="1"/>
        <i x="4"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11" xr10:uid="{D55458A1-0E24-4532-A464-1BC03D5E0FEF}" sourceName="Week">
  <pivotTables>
    <pivotTable tabId="18" name="PivotTable1"/>
  </pivotTables>
  <data>
    <tabular pivotCacheId="156792326">
      <items count="13">
        <i x="9" s="1"/>
        <i x="8" s="1"/>
        <i x="7" s="1"/>
        <i x="6" s="1"/>
        <i x="5" s="1"/>
        <i x="4" s="1"/>
        <i x="0" s="1"/>
        <i x="2" s="1"/>
        <i x="3" s="1"/>
        <i x="1" s="1"/>
        <i x="10" s="1" nd="1"/>
        <i x="11" s="1" nd="1"/>
        <i x="12"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 xr10:uid="{F285CF11-FBE8-4E28-9D6E-3E634BAB18BD}" sourceName="Month">
  <pivotTables>
    <pivotTable tabId="18" name="PivotTable1"/>
  </pivotTables>
  <data>
    <tabular pivotCacheId="156792326">
      <items count="12">
        <i x="7" s="1"/>
        <i x="6" s="1"/>
        <i x="5" s="1"/>
        <i x="4" s="1"/>
        <i x="3" s="1"/>
        <i x="2" s="1"/>
        <i x="0" s="1"/>
        <i x="1" s="1"/>
        <i x="10" s="1" nd="1"/>
        <i x="8" s="1" nd="1"/>
        <i x="9" s="1" nd="1"/>
        <i x="11" s="1" nd="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Pillar1" xr10:uid="{4F29EB35-DFC5-4ECB-83E3-5848ED3E6D34}" sourceName="Product Pillar">
  <pivotTables>
    <pivotTable tabId="18" name="PivotTable1"/>
  </pivotTables>
  <data>
    <tabular pivotCacheId="156792326">
      <items count="6">
        <i x="0" s="1"/>
        <i x="1" s="1"/>
        <i x="4" s="1"/>
        <i x="3" s="1"/>
        <i x="2" s="1"/>
        <i x="5"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2" xr10:uid="{AE525690-4A8E-4EA6-8F01-8A6AA2479BD9}" cache="Slicer_Region11" caption="Region" columnCount="2" style="SlicerStyleLight4" rowHeight="241300"/>
  <slicer name="Week 2" xr10:uid="{C6EFAF4C-4D1A-41CC-BF6F-D314E0186F97}" cache="Slicer_Week11" caption="Week" columnCount="2" style="SlicerStyleLight4" rowHeight="241300"/>
  <slicer name="Month 1" xr10:uid="{2940DCB2-DB34-4904-B3D9-C8518EAD447A}" cache="Slicer_Month1" caption="Month" columnCount="2" style="SlicerStyleLight4" rowHeight="241300"/>
  <slicer name="Product Pillar 1" xr10:uid="{8EDF51CB-BE17-446A-A2D2-24ACC0C3EBE7}" cache="Slicer_Product_Pillar1" caption="Product Pillar" style="SlicerStyleLight4"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357B6B29-7D39-4839-8400-43204BBF3F64}" cache="Slicer_Region1" caption="Region" columnCount="2" style="SlicerStyleLight4" rowHeight="241300"/>
  <slicer name="Week 1" xr10:uid="{9A548C90-B1B9-4C59-8F7F-9D3E9D519DB8}" cache="Slicer_Week1" caption="Week" columnCount="2" style="SlicerStyleLight4" rowHeight="241300"/>
  <slicer name="Month" xr10:uid="{F9CEE870-98E3-406F-9F24-74A229DA1727}" cache="Slicer_Month" caption="Month" columnCount="2" style="SlicerStyleLight4" rowHeight="241300"/>
  <slicer name="Product Pillar" xr10:uid="{56D78BAE-D508-4881-B40E-8942E4C02916}" cache="Slicer_Product_Pillar" caption="Product Pillar" style="SlicerStyleLight4"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Week" xr10:uid="{16605496-10E0-473C-83EF-C4EE8EE5A8CB}" cache="Slicer_Week" caption="Week" columnCount="2" style="SlicerStyleLight6" rowHeight="241300"/>
  <slicer name="Region" xr10:uid="{6F56F9D7-43CE-46C1-B061-AC06AB8AB0CF}" cache="Slicer_Region" caption="Region" columnCount="2" style="SlicerStyleLight6"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BBB57A7-90EC-46ED-96CA-F0955A43AAD3}" name="Data_Table" displayName="Data_Table" ref="A1:AO168" headerRowDxfId="124" dataDxfId="122" headerRowBorderDxfId="123" tableBorderDxfId="121" totalsRowBorderDxfId="120">
  <autoFilter ref="A1:AO168" xr:uid="{3BBB57A7-90EC-46ED-96CA-F0955A43AAD3}"/>
  <tableColumns count="41">
    <tableColumn id="1" xr3:uid="{2D4502C5-4DB0-44A4-888A-2A2A5F691314}" name="Date of the Ticket for Review" totalsRowLabel="Total" dataDxfId="119"/>
    <tableColumn id="2" xr3:uid="{83D72225-D070-4F18-A136-919F27DEAF8A}" name="Region" dataDxfId="118" totalsRowDxfId="117"/>
    <tableColumn id="26" xr3:uid="{BEAA1352-993A-48D9-8327-2A9BAFBB54E9}" name="Week" dataDxfId="116" totalsRowDxfId="115">
      <calculatedColumnFormula>WEEKNUM(A2)</calculatedColumnFormula>
    </tableColumn>
    <tableColumn id="34" xr3:uid="{26919777-C595-43FA-BB3B-FBDBA9C90F48}" name="Last 3 Weeks" dataDxfId="114" totalsRowDxfId="113">
      <calculatedColumnFormula>MATCH(Data_Table[[#This Row],[Week]],_xlfn._xlws.SORT(_xlfn.UNIQUE(Data_Table[Week]),1,-1),0)</calculatedColumnFormula>
    </tableColumn>
    <tableColumn id="4" xr3:uid="{A4840779-8E02-43CA-BF12-B78D8970B6ED}" name="Month" dataDxfId="112" totalsRowDxfId="111">
      <calculatedColumnFormula>TEXT(Data_Table[[#This Row],[Date of the Ticket for Review]],"mmm")</calculatedColumnFormula>
    </tableColumn>
    <tableColumn id="3" xr3:uid="{F55BB606-BA74-46A9-BDD8-1A7D62E1417D}" name="Ticket ID" dataDxfId="110" totalsRowDxfId="109"/>
    <tableColumn id="30" xr3:uid="{929F8E47-D325-426E-846C-588E52FD2EC5}" name="Agent Name" dataDxfId="108" totalsRowDxfId="107">
      <calculatedColumnFormula>VLOOKUP(F2,Agent_Table[],2,FALSE)</calculatedColumnFormula>
    </tableColumn>
    <tableColumn id="31" xr3:uid="{DAA8C062-3552-40B0-9B61-0F531C50655B}" name="Product Pillar" dataDxfId="106" totalsRowDxfId="105">
      <calculatedColumnFormula>IFERROR(VLOOKUP(Data_Table[[#This Row],[Ticket ID]],Product_Table[],2,FALSE),"")</calculatedColumnFormula>
    </tableColumn>
    <tableColumn id="5" xr3:uid="{BEC81D43-9185-428D-A646-72345A050FFC}" name="Ticket Type " dataDxfId="104" totalsRowDxfId="103"/>
    <tableColumn id="6" xr3:uid="{79B01FD9-333E-4550-9165-5F2860D35FC2}" name="Grammar &amp; Syntax " dataDxfId="102" totalsRowDxfId="101"/>
    <tableColumn id="7" xr3:uid="{987CBEE5-480E-4E5C-BEDC-752FBBD492B8}" name="Appropriate communication starter" dataDxfId="100" totalsRowDxfId="99"/>
    <tableColumn id="8" xr3:uid="{CBEF52EF-2CF8-4F36-A2F3-5E102446FF45}" name="Customer Empathy" dataDxfId="98" totalsRowDxfId="97"/>
    <tableColumn id="9" xr3:uid="{532BFBAF-216B-47B0-92D6-7ECBE39FFAD6}" name="Positive Tone" dataDxfId="96" totalsRowDxfId="95"/>
    <tableColumn id="10" xr3:uid="{73EF3DBF-1F7C-49B1-8F28-5741107FCA34}" name="Understand the Issue" dataDxfId="94" totalsRowDxfId="93"/>
    <tableColumn id="11" xr3:uid="{4B683FAE-A340-4DCF-80E6-F3AF4B71423B}" name="Accountability &amp; Ownership" dataDxfId="92" totalsRowDxfId="91"/>
    <tableColumn id="12" xr3:uid="{7723F4F8-144D-4AF8-BCC8-A0241145F352}" name="First Response Timeline" dataDxfId="90" totalsRowDxfId="89"/>
    <tableColumn id="13" xr3:uid="{10DF7587-FF07-48EF-849D-50F7709DEE96}" name="Quality of First Response" dataDxfId="88" totalsRowDxfId="87"/>
    <tableColumn id="14" xr3:uid="{2FF92D39-5C6A-4787-9EC6-79CF0B5866CD}" name="Qualitative Feedback (QA)" dataDxfId="86" totalsRowDxfId="85"/>
    <tableColumn id="28" xr3:uid="{A451C22F-BE67-4D65-8224-D95A343C825C}" name="Compliance Critical" dataDxfId="84">
      <calculatedColumnFormula>IF(MIN(Data_Table[[#This Row],[Grammar &amp; Syntax ]:[Quality of First Response]])&lt;=1,"Fail",IF(MIN(Data_Table[[#This Row],[Grammar &amp; Syntax ]:[Quality of First Response]])=2,"Neutral","Pass"))</calculatedColumnFormula>
    </tableColumn>
    <tableColumn id="25" xr3:uid="{E33C48F4-6ED3-4276-9B80-08F2261FE7EE}" name="Compliance Critical PF" dataDxfId="83">
      <calculatedColumnFormula>IF(MIN(Data_Table[[#This Row],[Grammar &amp; Syntax ]:[Quality of First Response]])&lt;=1,"Fail",IF(MIN(Data_Table[[#This Row],[Grammar &amp; Syntax ]:[Quality of First Response]])=2,"Pass","Pass"))</calculatedColumnFormula>
    </tableColumn>
    <tableColumn id="35" xr3:uid="{9226C805-DD49-4BFF-BFEC-B4173954835F}" name="Compliance Critical F" dataDxfId="82">
      <calculatedColumnFormula>IF(Data_Table[[#This Row],[Compliance Critical PF]]="Fail",1,0)</calculatedColumnFormula>
    </tableColumn>
    <tableColumn id="41" xr3:uid="{266D7F82-C1CD-4B37-8B5E-D7A52B53AF94}" name="Failed Attribute Compliance" dataDxfId="81"/>
    <tableColumn id="15" xr3:uid="{589C89D9-52B0-4060-A35E-892F63E74B18}" name="Priority Level" dataDxfId="80" totalsRowDxfId="79"/>
    <tableColumn id="16" xr3:uid="{BDDB523A-3E1A-49B1-9F10-7DF556F0E51B}" name="Ticket Type" dataDxfId="78" totalsRowDxfId="77"/>
    <tableColumn id="17" xr3:uid="{1600B0B3-D12E-45CA-B28D-17C3A18B9089}" name="Product Information" dataDxfId="76" totalsRowDxfId="75"/>
    <tableColumn id="18" xr3:uid="{054760BE-BC46-4A95-B974-74C2399CB4C2}" name="Effective Inquiry" dataDxfId="74" totalsRowDxfId="73"/>
    <tableColumn id="19" xr3:uid="{CFAF061F-F950-4795-BA8F-4DC6DBB3A29D}" name="XFN Escalation process" dataDxfId="72" totalsRowDxfId="71"/>
    <tableColumn id="20" xr3:uid="{8042511C-0D76-4B58-BBDA-1260D4FA03F5}" name="Solution Acceptability" dataDxfId="70" totalsRowDxfId="69"/>
    <tableColumn id="21" xr3:uid="{49A3D691-D2A8-443B-B571-ADC56A017F4D}" name="Ticket Closure" dataDxfId="68" totalsRowDxfId="67"/>
    <tableColumn id="22" xr3:uid="{2B982091-EEDC-4A90-8E11-B3DD00E0ED50}" name="Resolution time" dataDxfId="66" totalsRowDxfId="65"/>
    <tableColumn id="23" xr3:uid="{27F579A3-8419-4B68-8F06-3149CFEF49E4}" name="Effective escalation " dataDxfId="64" totalsRowDxfId="63"/>
    <tableColumn id="24" xr3:uid="{BF6CA4D4-12F4-4F60-B1B8-F7074438E9D8}" name="Qualitative Feedback (Leads)" dataDxfId="62" totalsRowDxfId="61"/>
    <tableColumn id="32" xr3:uid="{2F847540-C1C9-4C9F-A317-18CE2D37BFB8}" name="Business Critical" dataDxfId="60" totalsRowDxfId="59">
      <calculatedColumnFormula>IF(MIN(Data_Table[[#This Row],[Priority Level]:[Effective escalation ]])&lt;=1,"Fail",IF(MIN(Data_Table[[#This Row],[Priority Level]:[Effective escalation ]])=2,"Neutral","Pass"))</calculatedColumnFormula>
    </tableColumn>
    <tableColumn id="29" xr3:uid="{0EF78D7A-60A2-4163-984F-8BF2F31A89AC}" name="Business Critical PF" dataDxfId="58">
      <calculatedColumnFormula>IF(MIN(Data_Table[[#This Row],[Priority Level]:[Effective escalation ]])&lt;=1,"Fail",IF(MIN(Data_Table[[#This Row],[Priority Level]:[Effective escalation ]])=2,"Pass","Pass"))</calculatedColumnFormula>
    </tableColumn>
    <tableColumn id="37" xr3:uid="{213D5194-F6C3-4E6A-B8BE-89A2A1257519}" name="Business Critical F" dataDxfId="57">
      <calculatedColumnFormula>IF(Data_Table[[#This Row],[Business Critical PF]]="Fail",1,"")</calculatedColumnFormula>
    </tableColumn>
    <tableColumn id="27" xr3:uid="{22E5EE38-2ED3-4B2E-822B-95F10C3271B5}" name="Attribute Fail Rate" dataDxfId="56">
      <calculatedColumnFormula>IF(MIN(Data_Table[[#This Row],[Grammar &amp; Syntax ]:[Quality of First Response]],Data_Table[[#This Row],[Priority Level]:[Effective escalation ]])&lt;=1,"Fail",IF(MIN(Data_Table[[#This Row],[Grammar &amp; Syntax ]:[Quality of First Response]],Data_Table[[#This Row],[Priority Level]:[Effective escalation ]])=2,"Neutral","Pass"))</calculatedColumnFormula>
    </tableColumn>
    <tableColumn id="33" xr3:uid="{471C0C15-725D-4133-B826-0B47471E98C9}" name="Attribute Fail Rate PF" dataDxfId="55">
      <calculatedColumnFormula>IF(MIN(Data_Table[[#This Row],[Grammar &amp; Syntax ]:[Quality of First Response]],Data_Table[[#This Row],[Priority Level]:[Effective escalation ]])&lt;=1,"Fail",IF(MIN(Data_Table[[#This Row],[Grammar &amp; Syntax ]:[Quality of First Response]],Data_Table[[#This Row],[Priority Level]:[Effective escalation ]])=2,"Pass","Pass"))</calculatedColumnFormula>
    </tableColumn>
    <tableColumn id="36" xr3:uid="{CBEBC26B-EC55-4190-AA11-7AD6DD80FE42}" name="Attribute Fail Rate F" dataDxfId="54">
      <calculatedColumnFormula>IF(Data_Table[[#This Row],[Attribute Fail Rate PF]]="Fail",1,"")</calculatedColumnFormula>
    </tableColumn>
    <tableColumn id="38" xr3:uid="{F7B20F40-805B-4D95-BF46-5868AB6209EA}" name="Count" dataDxfId="53">
      <calculatedColumnFormula>1</calculatedColumnFormula>
    </tableColumn>
    <tableColumn id="39" xr3:uid="{43732AB8-9F19-4EF2-B0A7-AE7778E5291D}" name="Failed Ticket ID" dataDxfId="52">
      <calculatedColumnFormula>IF(Data_Table[[#This Row],[Attribute Fail Rate PF]]="Fail",Data_Table[[#This Row],[Ticket ID]],"")</calculatedColumnFormula>
    </tableColumn>
    <tableColumn id="40" xr3:uid="{3C41B864-10F6-48D6-8F2F-D49A18036082}" name="Failed Attributes" dataDxfId="51">
      <calculatedColumnFormula array="1">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calculatedColumnFormula>
    </tableColumn>
  </tableColumns>
  <tableStyleInfo showFirstColumn="1"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6BD2AE9-0183-4D0E-93C7-F8DE001EF82B}" name="Product_Table" displayName="Product_Table" ref="A1:B101" totalsRowShown="0" headerRowDxfId="47">
  <autoFilter ref="A1:B101" xr:uid="{36BD2AE9-0183-4D0E-93C7-F8DE001EF82B}"/>
  <tableColumns count="2">
    <tableColumn id="1" xr3:uid="{7CE356AD-7477-4DC8-937E-20D2CCB0192E}" name="Ticket ID" dataDxfId="46"/>
    <tableColumn id="2" xr3:uid="{EE99AF05-E9AB-4EF7-84F8-81179D24CF08}" name="Product Pillar " dataDxfId="45"/>
  </tableColumns>
  <tableStyleInfo name="TableStyleLight2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85CD2F0-253B-4C70-A647-F6CCF7F71248}" name="Agent_Table" displayName="Agent_Table" ref="A1:B181" totalsRowShown="0" headerRowDxfId="44" dataDxfId="43">
  <autoFilter ref="A1:B181" xr:uid="{F85CD2F0-253B-4C70-A647-F6CCF7F71248}"/>
  <tableColumns count="2">
    <tableColumn id="1" xr3:uid="{506E330C-8239-4454-A6AA-93C9307D01AD}" name="Ticket ID" dataDxfId="42"/>
    <tableColumn id="2" xr3:uid="{A0E28AB8-046B-404F-9F9E-A2CD2FD508D7}" name="TPS Name" dataDxfId="4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ln>
          <a:solidFill>
            <a:sysClr val="windowText" lastClr="000000"/>
          </a:solidFill>
        </a:ln>
      </a:spPr>
      <a:bodyPr/>
      <a:lstStyle/>
      <a:style>
        <a:lnRef idx="1">
          <a:schemeClr val="accent1"/>
        </a:lnRef>
        <a:fillRef idx="0">
          <a:schemeClr val="accent1"/>
        </a:fillRef>
        <a:effectRef idx="0">
          <a:schemeClr val="accent1"/>
        </a:effectRef>
        <a:fontRef idx="minor">
          <a:schemeClr val="tx1"/>
        </a:fontRef>
      </a: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S1" dT="2022-11-30T11:05:02.22" personId="{92EE2052-2BFD-48C5-A932-7F5220E74F6D}" id="{014BD70A-1F6B-483F-8059-60CBC25D149B}">
    <text>Customer Centric</text>
  </threadedComment>
  <threadedComment ref="AJ1" dT="2022-11-30T11:05:12.33" personId="{92EE2052-2BFD-48C5-A932-7F5220E74F6D}" id="{A479E2E5-CCE9-4DA4-9CB5-CDF259654A92}">
    <text>Overall Fail Rate</text>
  </threadedComment>
</ThreadedComments>
</file>

<file path=xl/threadedComments/threadedComment2.xml><?xml version="1.0" encoding="utf-8"?>
<ThreadedComments xmlns="http://schemas.microsoft.com/office/spreadsheetml/2018/threadedcomments" xmlns:x="http://schemas.openxmlformats.org/spreadsheetml/2006/main">
  <threadedComment ref="Y1" dT="2022-11-30T11:04:39.04" personId="{92EE2052-2BFD-48C5-A932-7F5220E74F6D}" id="{611300F9-25AD-4731-9362-05E130B5878C}">
    <text>Overall</text>
  </threadedComment>
  <threadedComment ref="AA1" dT="2022-11-30T11:04:51.36" personId="{92EE2052-2BFD-48C5-A932-7F5220E74F6D}" id="{0AFA5A6B-BF9B-4DFD-A8F0-BE02192F7E37}">
    <text>Customer Centric</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2.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4" Type="http://schemas.microsoft.com/office/2007/relationships/slicer" Target="../slicers/slicer1.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pivotTable" Target="../pivotTables/pivotTable2.xml"/><Relationship Id="rId4" Type="http://schemas.microsoft.com/office/2007/relationships/slicer" Target="../slicers/slicer2.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openxmlformats.org/officeDocument/2006/relationships/pivotTable" Target="../pivotTables/pivotTable3.xml"/><Relationship Id="rId4" Type="http://schemas.microsoft.com/office/2007/relationships/slicer" Target="../slicers/slicer3.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pivotTable" Target="../pivotTables/pivotTable6.xml"/><Relationship Id="rId7" Type="http://schemas.openxmlformats.org/officeDocument/2006/relationships/vmlDrawing" Target="../drawings/vmlDrawing3.vml"/><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openxmlformats.org/officeDocument/2006/relationships/drawing" Target="../drawings/drawing6.xml"/><Relationship Id="rId5" Type="http://schemas.openxmlformats.org/officeDocument/2006/relationships/printerSettings" Target="../printerSettings/printerSettings7.bin"/><Relationship Id="rId4" Type="http://schemas.openxmlformats.org/officeDocument/2006/relationships/pivotTable" Target="../pivotTables/pivotTable7.xml"/><Relationship Id="rId9" Type="http://schemas.microsoft.com/office/2017/10/relationships/threadedComment" Target="../threadedComments/threadedComment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2D3F29-7B16-41AA-8BD5-F2B23013F31A}">
  <sheetPr codeName="Sheet1"/>
  <dimension ref="A1:AP168"/>
  <sheetViews>
    <sheetView zoomScale="85" zoomScaleNormal="85" workbookViewId="0">
      <pane ySplit="1" topLeftCell="A2" activePane="bottomLeft" state="frozen"/>
      <selection pane="bottomLeft" activeCell="B164" sqref="B164"/>
    </sheetView>
  </sheetViews>
  <sheetFormatPr defaultRowHeight="15" x14ac:dyDescent="0.25"/>
  <cols>
    <col min="1" max="1" width="20.140625" customWidth="1"/>
    <col min="4" max="4" width="9.140625" style="59"/>
    <col min="5" max="5" width="10.42578125" bestFit="1" customWidth="1"/>
    <col min="7" max="7" width="30.28515625" bestFit="1" customWidth="1"/>
    <col min="8" max="8" width="22.85546875" bestFit="1" customWidth="1"/>
    <col min="20" max="20" width="9.140625" style="54"/>
    <col min="21" max="22" width="9.140625" style="59"/>
    <col min="33" max="33" width="9.140625" style="54"/>
    <col min="35" max="35" width="9.140625" style="59"/>
    <col min="37" max="37" width="9.140625" style="54"/>
    <col min="38" max="40" width="9.140625" style="59"/>
    <col min="41" max="41" width="62.42578125" style="59" bestFit="1" customWidth="1"/>
  </cols>
  <sheetData>
    <row r="1" spans="1:41" ht="75" x14ac:dyDescent="0.25">
      <c r="A1" s="19" t="s">
        <v>131</v>
      </c>
      <c r="B1" s="20" t="s">
        <v>135</v>
      </c>
      <c r="C1" s="20" t="s">
        <v>132</v>
      </c>
      <c r="D1" s="20" t="s">
        <v>203</v>
      </c>
      <c r="E1" s="20" t="s">
        <v>137</v>
      </c>
      <c r="F1" s="20" t="s">
        <v>136</v>
      </c>
      <c r="G1" s="29" t="s">
        <v>134</v>
      </c>
      <c r="H1" s="29" t="s">
        <v>133</v>
      </c>
      <c r="I1" s="21" t="s">
        <v>0</v>
      </c>
      <c r="J1" s="14" t="s">
        <v>112</v>
      </c>
      <c r="K1" s="14" t="s">
        <v>113</v>
      </c>
      <c r="L1" s="14" t="s">
        <v>261</v>
      </c>
      <c r="M1" s="14" t="s">
        <v>268</v>
      </c>
      <c r="N1" s="14" t="s">
        <v>116</v>
      </c>
      <c r="O1" s="14" t="s">
        <v>117</v>
      </c>
      <c r="P1" s="14" t="s">
        <v>118</v>
      </c>
      <c r="Q1" s="14" t="s">
        <v>119</v>
      </c>
      <c r="R1" s="15" t="s">
        <v>129</v>
      </c>
      <c r="S1" s="58" t="s">
        <v>194</v>
      </c>
      <c r="T1" s="58" t="s">
        <v>190</v>
      </c>
      <c r="U1" s="58" t="s">
        <v>206</v>
      </c>
      <c r="V1" s="58" t="s">
        <v>244</v>
      </c>
      <c r="W1" s="16" t="s">
        <v>120</v>
      </c>
      <c r="X1" s="17" t="s">
        <v>121</v>
      </c>
      <c r="Y1" s="16" t="s">
        <v>122</v>
      </c>
      <c r="Z1" s="16" t="s">
        <v>123</v>
      </c>
      <c r="AA1" s="16" t="s">
        <v>124</v>
      </c>
      <c r="AB1" s="17" t="s">
        <v>125</v>
      </c>
      <c r="AC1" s="16" t="s">
        <v>126</v>
      </c>
      <c r="AD1" s="17" t="s">
        <v>127</v>
      </c>
      <c r="AE1" s="17" t="s">
        <v>128</v>
      </c>
      <c r="AF1" s="18" t="s">
        <v>130</v>
      </c>
      <c r="AG1" s="56" t="s">
        <v>195</v>
      </c>
      <c r="AH1" s="56" t="s">
        <v>191</v>
      </c>
      <c r="AI1" s="56" t="s">
        <v>208</v>
      </c>
      <c r="AJ1" s="57" t="s">
        <v>193</v>
      </c>
      <c r="AK1" s="57" t="s">
        <v>192</v>
      </c>
      <c r="AL1" s="57" t="s">
        <v>207</v>
      </c>
      <c r="AM1" s="57" t="s">
        <v>213</v>
      </c>
      <c r="AN1" s="57" t="s">
        <v>214</v>
      </c>
      <c r="AO1" s="57" t="s">
        <v>243</v>
      </c>
    </row>
    <row r="2" spans="1:41" ht="15" customHeight="1" x14ac:dyDescent="0.25">
      <c r="A2" s="10">
        <v>44858</v>
      </c>
      <c r="B2" s="1" t="s">
        <v>1</v>
      </c>
      <c r="C2" s="1">
        <f t="shared" ref="C2:C33" si="0">WEEKNUM(A2)</f>
        <v>44</v>
      </c>
      <c r="D2" s="1">
        <f>MATCH(Data_Table[[#This Row],[Week]],_xlfn._xlws.SORT(_xlfn.UNIQUE(Data_Table[Week]),1,-1),0)</f>
        <v>4</v>
      </c>
      <c r="E2" s="1" t="str">
        <f>TEXT(Data_Table[[#This Row],[Date of the Ticket for Review]],"mmm")</f>
        <v>Oct</v>
      </c>
      <c r="F2" s="8">
        <v>863177</v>
      </c>
      <c r="G2" s="8" t="str">
        <f>VLOOKUP(F2,Agent_Table[],2,FALSE)</f>
        <v>Agnes Tang</v>
      </c>
      <c r="H2" s="8" t="str">
        <f>IFERROR(VLOOKUP(Data_Table[[#This Row],[Ticket ID]],Product_Table[],2,FALSE),"")</f>
        <v/>
      </c>
      <c r="I2" s="3" t="s">
        <v>2</v>
      </c>
      <c r="J2" s="8">
        <v>3</v>
      </c>
      <c r="K2" s="8">
        <v>3</v>
      </c>
      <c r="L2" s="8">
        <v>3</v>
      </c>
      <c r="M2" s="8">
        <v>3</v>
      </c>
      <c r="N2" s="8">
        <v>3</v>
      </c>
      <c r="O2" s="8">
        <v>3</v>
      </c>
      <c r="P2" s="8">
        <v>3</v>
      </c>
      <c r="Q2" s="8">
        <v>3</v>
      </c>
      <c r="R2" s="5" t="s">
        <v>3</v>
      </c>
      <c r="S2" s="5" t="str">
        <f>IF(MIN(Data_Table[[#This Row],[Grammar &amp; Syntax ]:[Quality of First Response]])&lt;=1,"Fail",IF(MIN(Data_Table[[#This Row],[Grammar &amp; Syntax ]:[Quality of First Response]])=2,"Neutral","Pass"))</f>
        <v>Pass</v>
      </c>
      <c r="T2" s="5" t="str">
        <f>IF(MIN(Data_Table[[#This Row],[Grammar &amp; Syntax ]:[Quality of First Response]])&lt;=1,"Fail",IF(MIN(Data_Table[[#This Row],[Grammar &amp; Syntax ]:[Quality of First Response]])=2,"Pass","Pass"))</f>
        <v>Pass</v>
      </c>
      <c r="U2" s="5">
        <f>IF(Data_Table[[#This Row],[Compliance Critical PF]]="Fail",1,0)</f>
        <v>0</v>
      </c>
      <c r="V2" s="5"/>
      <c r="W2" s="8">
        <v>3</v>
      </c>
      <c r="X2" s="8">
        <v>3</v>
      </c>
      <c r="Y2" s="8">
        <v>3</v>
      </c>
      <c r="Z2" s="8">
        <v>3</v>
      </c>
      <c r="AA2" s="1" t="s">
        <v>12</v>
      </c>
      <c r="AB2" s="8">
        <v>3</v>
      </c>
      <c r="AC2" s="8">
        <v>3</v>
      </c>
      <c r="AD2" s="8">
        <v>3</v>
      </c>
      <c r="AE2" s="1" t="s">
        <v>12</v>
      </c>
      <c r="AF2" s="7" t="s">
        <v>12</v>
      </c>
      <c r="AG2" s="7" t="str">
        <f>IF(MIN(Data_Table[[#This Row],[Priority Level]:[Effective escalation ]])&lt;=1,"Fail",IF(MIN(Data_Table[[#This Row],[Priority Level]:[Effective escalation ]])=2,"Neutral","Pass"))</f>
        <v>Pass</v>
      </c>
      <c r="AH2" s="2" t="str">
        <f>IF(MIN(Data_Table[[#This Row],[Priority Level]:[Effective escalation ]])&lt;=1,"Fail",IF(MIN(Data_Table[[#This Row],[Priority Level]:[Effective escalation ]])=2,"Pass","Pass"))</f>
        <v>Pass</v>
      </c>
      <c r="AI2" s="2" t="str">
        <f>IF(Data_Table[[#This Row],[Business Critical PF]]="Fail",1,"")</f>
        <v/>
      </c>
      <c r="AJ2" s="5"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2"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2" s="5" t="str">
        <f>IF(Data_Table[[#This Row],[Attribute Fail Rate PF]]="Fail",1,"")</f>
        <v/>
      </c>
      <c r="AM2" s="5">
        <f>1</f>
        <v>1</v>
      </c>
      <c r="AN2" s="5" t="str">
        <f>IF(Data_Table[[#This Row],[Attribute Fail Rate PF]]="Fail",Data_Table[[#This Row],[Ticket ID]],"")</f>
        <v/>
      </c>
      <c r="AO2" s="5" t="str" cm="1">
        <f t="array" ref="AO2">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3" spans="1:41" ht="15" customHeight="1" x14ac:dyDescent="0.25">
      <c r="A3" s="10">
        <v>44858</v>
      </c>
      <c r="B3" s="1" t="s">
        <v>4</v>
      </c>
      <c r="C3" s="1">
        <f t="shared" si="0"/>
        <v>44</v>
      </c>
      <c r="D3" s="1">
        <f>MATCH(Data_Table[[#This Row],[Week]],_xlfn._xlws.SORT(_xlfn.UNIQUE(Data_Table[Week]),1,-1),0)</f>
        <v>4</v>
      </c>
      <c r="E3" s="1" t="str">
        <f>TEXT(Data_Table[[#This Row],[Date of the Ticket for Review]],"mmm")</f>
        <v>Oct</v>
      </c>
      <c r="F3" s="8">
        <v>863354</v>
      </c>
      <c r="G3" s="8" t="str">
        <f>VLOOKUP(F3,Agent_Table[],2,FALSE)</f>
        <v>Agnes Tang</v>
      </c>
      <c r="H3" s="8" t="str">
        <f>IFERROR(VLOOKUP(Data_Table[[#This Row],[Ticket ID]],Product_Table[],2,FALSE),"")</f>
        <v/>
      </c>
      <c r="I3" s="3" t="s">
        <v>2</v>
      </c>
      <c r="J3" s="8">
        <v>3</v>
      </c>
      <c r="K3" s="8">
        <v>3</v>
      </c>
      <c r="L3" s="8">
        <v>3</v>
      </c>
      <c r="M3" s="8">
        <v>3</v>
      </c>
      <c r="N3" s="8">
        <v>3</v>
      </c>
      <c r="O3" s="8">
        <v>3</v>
      </c>
      <c r="P3" s="8">
        <v>3</v>
      </c>
      <c r="Q3" s="8">
        <v>3</v>
      </c>
      <c r="R3" s="5" t="s">
        <v>3</v>
      </c>
      <c r="S3" s="5" t="str">
        <f>IF(MIN(Data_Table[[#This Row],[Grammar &amp; Syntax ]:[Quality of First Response]])&lt;=1,"Fail",IF(MIN(Data_Table[[#This Row],[Grammar &amp; Syntax ]:[Quality of First Response]])=2,"Neutral","Pass"))</f>
        <v>Pass</v>
      </c>
      <c r="T3" s="5" t="str">
        <f>IF(MIN(Data_Table[[#This Row],[Grammar &amp; Syntax ]:[Quality of First Response]])&lt;=1,"Fail",IF(MIN(Data_Table[[#This Row],[Grammar &amp; Syntax ]:[Quality of First Response]])=2,"Pass","Pass"))</f>
        <v>Pass</v>
      </c>
      <c r="U3" s="5">
        <f>IF(Data_Table[[#This Row],[Compliance Critical PF]]="Fail",1,0)</f>
        <v>0</v>
      </c>
      <c r="V3" s="5"/>
      <c r="W3" s="8">
        <v>3</v>
      </c>
      <c r="X3" s="8">
        <v>3</v>
      </c>
      <c r="Y3" s="8">
        <v>3</v>
      </c>
      <c r="Z3" s="8">
        <v>3</v>
      </c>
      <c r="AA3" s="1" t="s">
        <v>12</v>
      </c>
      <c r="AB3" s="8">
        <v>3</v>
      </c>
      <c r="AC3" s="8">
        <v>3</v>
      </c>
      <c r="AD3" s="8">
        <v>3</v>
      </c>
      <c r="AE3" s="1" t="s">
        <v>12</v>
      </c>
      <c r="AF3" s="7" t="s">
        <v>12</v>
      </c>
      <c r="AG3" s="7" t="str">
        <f>IF(MIN(Data_Table[[#This Row],[Priority Level]:[Effective escalation ]])&lt;=1,"Fail",IF(MIN(Data_Table[[#This Row],[Priority Level]:[Effective escalation ]])=2,"Neutral","Pass"))</f>
        <v>Pass</v>
      </c>
      <c r="AH3" s="2" t="str">
        <f>IF(MIN(Data_Table[[#This Row],[Priority Level]:[Effective escalation ]])&lt;=1,"Fail",IF(MIN(Data_Table[[#This Row],[Priority Level]:[Effective escalation ]])=2,"Pass","Pass"))</f>
        <v>Pass</v>
      </c>
      <c r="AI3" s="2" t="str">
        <f>IF(Data_Table[[#This Row],[Business Critical PF]]="Fail",1,"")</f>
        <v/>
      </c>
      <c r="AJ3" s="5"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3"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3" s="5" t="str">
        <f>IF(Data_Table[[#This Row],[Attribute Fail Rate PF]]="Fail",1,"")</f>
        <v/>
      </c>
      <c r="AM3" s="5">
        <f>1</f>
        <v>1</v>
      </c>
      <c r="AN3" s="5" t="str">
        <f>IF(Data_Table[[#This Row],[Attribute Fail Rate PF]]="Fail",Data_Table[[#This Row],[Ticket ID]],"")</f>
        <v/>
      </c>
      <c r="AO3" s="5" t="str" cm="1">
        <f t="array" ref="AO3">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4" spans="1:41" ht="15" customHeight="1" x14ac:dyDescent="0.25">
      <c r="A4" s="10">
        <v>44862</v>
      </c>
      <c r="B4" s="1" t="s">
        <v>4</v>
      </c>
      <c r="C4" s="1">
        <f t="shared" si="0"/>
        <v>44</v>
      </c>
      <c r="D4" s="1">
        <f>MATCH(Data_Table[[#This Row],[Week]],_xlfn._xlws.SORT(_xlfn.UNIQUE(Data_Table[Week]),1,-1),0)</f>
        <v>4</v>
      </c>
      <c r="E4" s="1" t="str">
        <f>TEXT(Data_Table[[#This Row],[Date of the Ticket for Review]],"mmm")</f>
        <v>Oct</v>
      </c>
      <c r="F4" s="8">
        <v>870776</v>
      </c>
      <c r="G4" s="8" t="str">
        <f>VLOOKUP(F4,Agent_Table[],2,FALSE)</f>
        <v>Rupesh Vaswani</v>
      </c>
      <c r="H4" s="8" t="str">
        <f>IFERROR(VLOOKUP(Data_Table[[#This Row],[Ticket ID]],Product_Table[],2,FALSE),"")</f>
        <v/>
      </c>
      <c r="I4" s="3" t="s">
        <v>2</v>
      </c>
      <c r="J4" s="8">
        <v>3</v>
      </c>
      <c r="K4" s="8">
        <v>3</v>
      </c>
      <c r="L4" s="8">
        <v>3</v>
      </c>
      <c r="M4" s="8">
        <v>3</v>
      </c>
      <c r="N4" s="8">
        <v>3</v>
      </c>
      <c r="O4" s="8">
        <v>1</v>
      </c>
      <c r="P4" s="8">
        <v>3</v>
      </c>
      <c r="Q4" s="8">
        <v>3</v>
      </c>
      <c r="R4" s="5" t="s">
        <v>5</v>
      </c>
      <c r="S4" s="5" t="str">
        <f>IF(MIN(Data_Table[[#This Row],[Grammar &amp; Syntax ]:[Quality of First Response]])&lt;=1,"Fail",IF(MIN(Data_Table[[#This Row],[Grammar &amp; Syntax ]:[Quality of First Response]])=2,"Neutral","Pass"))</f>
        <v>Fail</v>
      </c>
      <c r="T4" s="5" t="str">
        <f>IF(MIN(Data_Table[[#This Row],[Grammar &amp; Syntax ]:[Quality of First Response]])&lt;=1,"Fail",IF(MIN(Data_Table[[#This Row],[Grammar &amp; Syntax ]:[Quality of First Response]])=2,"Pass","Pass"))</f>
        <v>Fail</v>
      </c>
      <c r="U4" s="5">
        <f>IF(Data_Table[[#This Row],[Compliance Critical PF]]="Fail",1,0)</f>
        <v>1</v>
      </c>
      <c r="V4" s="5"/>
      <c r="W4" s="8">
        <v>3</v>
      </c>
      <c r="X4" s="8">
        <v>3</v>
      </c>
      <c r="Y4" s="8">
        <v>3</v>
      </c>
      <c r="Z4" s="8">
        <v>3</v>
      </c>
      <c r="AA4" s="1" t="s">
        <v>12</v>
      </c>
      <c r="AB4" s="8">
        <v>3</v>
      </c>
      <c r="AC4" s="8">
        <v>3</v>
      </c>
      <c r="AD4" s="8">
        <v>3</v>
      </c>
      <c r="AE4" s="1" t="s">
        <v>12</v>
      </c>
      <c r="AF4" s="7" t="s">
        <v>12</v>
      </c>
      <c r="AG4" s="7" t="str">
        <f>IF(MIN(Data_Table[[#This Row],[Priority Level]:[Effective escalation ]])&lt;=1,"Fail",IF(MIN(Data_Table[[#This Row],[Priority Level]:[Effective escalation ]])=2,"Neutral","Pass"))</f>
        <v>Pass</v>
      </c>
      <c r="AH4" s="2" t="str">
        <f>IF(MIN(Data_Table[[#This Row],[Priority Level]:[Effective escalation ]])&lt;=1,"Fail",IF(MIN(Data_Table[[#This Row],[Priority Level]:[Effective escalation ]])=2,"Pass","Pass"))</f>
        <v>Pass</v>
      </c>
      <c r="AI4" s="2" t="str">
        <f>IF(Data_Table[[#This Row],[Business Critical PF]]="Fail",1,"")</f>
        <v/>
      </c>
      <c r="AJ4" s="5" t="str">
        <f>IF(MIN(Data_Table[[#This Row],[Grammar &amp; Syntax ]:[Quality of First Response]],Data_Table[[#This Row],[Priority Level]:[Effective escalation ]])&lt;=1,"Fail",IF(MIN(Data_Table[[#This Row],[Grammar &amp; Syntax ]:[Quality of First Response]],Data_Table[[#This Row],[Priority Level]:[Effective escalation ]])=2,"Neutral","Pass"))</f>
        <v>Fail</v>
      </c>
      <c r="AK4" s="5" t="str">
        <f>IF(MIN(Data_Table[[#This Row],[Grammar &amp; Syntax ]:[Quality of First Response]],Data_Table[[#This Row],[Priority Level]:[Effective escalation ]])&lt;=1,"Fail",IF(MIN(Data_Table[[#This Row],[Grammar &amp; Syntax ]:[Quality of First Response]],Data_Table[[#This Row],[Priority Level]:[Effective escalation ]])=2,"Pass","Pass"))</f>
        <v>Fail</v>
      </c>
      <c r="AL4" s="5">
        <f>IF(Data_Table[[#This Row],[Attribute Fail Rate PF]]="Fail",1,"")</f>
        <v>1</v>
      </c>
      <c r="AM4" s="5">
        <f>1</f>
        <v>1</v>
      </c>
      <c r="AN4" s="5">
        <f>IF(Data_Table[[#This Row],[Attribute Fail Rate PF]]="Fail",Data_Table[[#This Row],[Ticket ID]],"")</f>
        <v>870776</v>
      </c>
      <c r="AO4" s="5" t="str" cm="1">
        <f t="array" ref="AO4">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Accountability &amp; Ownership</v>
      </c>
    </row>
    <row r="5" spans="1:41" ht="15" customHeight="1" x14ac:dyDescent="0.25">
      <c r="A5" s="10">
        <v>44862</v>
      </c>
      <c r="B5" s="1" t="s">
        <v>4</v>
      </c>
      <c r="C5" s="1">
        <f t="shared" si="0"/>
        <v>44</v>
      </c>
      <c r="D5" s="1">
        <f>MATCH(Data_Table[[#This Row],[Week]],_xlfn._xlws.SORT(_xlfn.UNIQUE(Data_Table[Week]),1,-1),0)</f>
        <v>4</v>
      </c>
      <c r="E5" s="1" t="str">
        <f>TEXT(Data_Table[[#This Row],[Date of the Ticket for Review]],"mmm")</f>
        <v>Oct</v>
      </c>
      <c r="F5" s="8">
        <v>870147</v>
      </c>
      <c r="G5" s="8" t="str">
        <f>VLOOKUP(F5,Agent_Table[],2,FALSE)</f>
        <v>Rupesh Vaswani</v>
      </c>
      <c r="H5" s="8" t="str">
        <f>IFERROR(VLOOKUP(Data_Table[[#This Row],[Ticket ID]],Product_Table[],2,FALSE),"")</f>
        <v/>
      </c>
      <c r="I5" s="3" t="s">
        <v>2</v>
      </c>
      <c r="J5" s="8">
        <v>3</v>
      </c>
      <c r="K5" s="8">
        <v>3</v>
      </c>
      <c r="L5" s="8">
        <v>3</v>
      </c>
      <c r="M5" s="8">
        <v>3</v>
      </c>
      <c r="N5" s="8">
        <v>3</v>
      </c>
      <c r="O5" s="8">
        <v>3</v>
      </c>
      <c r="P5" s="8">
        <v>3</v>
      </c>
      <c r="Q5" s="8">
        <v>3</v>
      </c>
      <c r="R5" s="5" t="s">
        <v>3</v>
      </c>
      <c r="S5" s="5" t="str">
        <f>IF(MIN(Data_Table[[#This Row],[Grammar &amp; Syntax ]:[Quality of First Response]])&lt;=1,"Fail",IF(MIN(Data_Table[[#This Row],[Grammar &amp; Syntax ]:[Quality of First Response]])=2,"Neutral","Pass"))</f>
        <v>Pass</v>
      </c>
      <c r="T5" s="5" t="str">
        <f>IF(MIN(Data_Table[[#This Row],[Grammar &amp; Syntax ]:[Quality of First Response]])&lt;=1,"Fail",IF(MIN(Data_Table[[#This Row],[Grammar &amp; Syntax ]:[Quality of First Response]])=2,"Pass","Pass"))</f>
        <v>Pass</v>
      </c>
      <c r="U5" s="5">
        <f>IF(Data_Table[[#This Row],[Compliance Critical PF]]="Fail",1,0)</f>
        <v>0</v>
      </c>
      <c r="V5" s="5"/>
      <c r="W5" s="8">
        <v>3</v>
      </c>
      <c r="X5" s="8">
        <v>3</v>
      </c>
      <c r="Y5" s="8">
        <v>3</v>
      </c>
      <c r="Z5" s="8">
        <v>3</v>
      </c>
      <c r="AA5" s="1" t="s">
        <v>12</v>
      </c>
      <c r="AB5" s="8">
        <v>3</v>
      </c>
      <c r="AC5" s="8">
        <v>3</v>
      </c>
      <c r="AD5" s="8">
        <v>3</v>
      </c>
      <c r="AE5" s="1" t="s">
        <v>12</v>
      </c>
      <c r="AF5" s="7" t="s">
        <v>12</v>
      </c>
      <c r="AG5" s="7" t="str">
        <f>IF(MIN(Data_Table[[#This Row],[Priority Level]:[Effective escalation ]])&lt;=1,"Fail",IF(MIN(Data_Table[[#This Row],[Priority Level]:[Effective escalation ]])=2,"Neutral","Pass"))</f>
        <v>Pass</v>
      </c>
      <c r="AH5" s="2" t="str">
        <f>IF(MIN(Data_Table[[#This Row],[Priority Level]:[Effective escalation ]])&lt;=1,"Fail",IF(MIN(Data_Table[[#This Row],[Priority Level]:[Effective escalation ]])=2,"Pass","Pass"))</f>
        <v>Pass</v>
      </c>
      <c r="AI5" s="2" t="str">
        <f>IF(Data_Table[[#This Row],[Business Critical PF]]="Fail",1,"")</f>
        <v/>
      </c>
      <c r="AJ5" s="5"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5"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5" s="5" t="str">
        <f>IF(Data_Table[[#This Row],[Attribute Fail Rate PF]]="Fail",1,"")</f>
        <v/>
      </c>
      <c r="AM5" s="5">
        <f>1</f>
        <v>1</v>
      </c>
      <c r="AN5" s="5" t="str">
        <f>IF(Data_Table[[#This Row],[Attribute Fail Rate PF]]="Fail",Data_Table[[#This Row],[Ticket ID]],"")</f>
        <v/>
      </c>
      <c r="AO5" s="5" t="str" cm="1">
        <f t="array" ref="AO5">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6" spans="1:41" ht="15" customHeight="1" x14ac:dyDescent="0.25">
      <c r="A6" s="10">
        <v>44859</v>
      </c>
      <c r="B6" s="1" t="s">
        <v>4</v>
      </c>
      <c r="C6" s="1">
        <f t="shared" si="0"/>
        <v>44</v>
      </c>
      <c r="D6" s="1">
        <f>MATCH(Data_Table[[#This Row],[Week]],_xlfn._xlws.SORT(_xlfn.UNIQUE(Data_Table[Week]),1,-1),0)</f>
        <v>4</v>
      </c>
      <c r="E6" s="1" t="str">
        <f>TEXT(Data_Table[[#This Row],[Date of the Ticket for Review]],"mmm")</f>
        <v>Oct</v>
      </c>
      <c r="F6" s="8">
        <v>864315</v>
      </c>
      <c r="G6" s="8" t="str">
        <f>VLOOKUP(F6,Agent_Table[],2,FALSE)</f>
        <v>Islam Ghiboub</v>
      </c>
      <c r="H6" s="8" t="str">
        <f>IFERROR(VLOOKUP(Data_Table[[#This Row],[Ticket ID]],Product_Table[],2,FALSE),"")</f>
        <v/>
      </c>
      <c r="I6" s="3" t="s">
        <v>2</v>
      </c>
      <c r="J6" s="8">
        <v>3</v>
      </c>
      <c r="K6" s="8">
        <v>3</v>
      </c>
      <c r="L6" s="8">
        <v>3</v>
      </c>
      <c r="M6" s="8">
        <v>3</v>
      </c>
      <c r="N6" s="8">
        <v>3</v>
      </c>
      <c r="O6" s="8">
        <v>3</v>
      </c>
      <c r="P6" s="8">
        <v>3</v>
      </c>
      <c r="Q6" s="8">
        <v>3</v>
      </c>
      <c r="R6" s="5" t="s">
        <v>3</v>
      </c>
      <c r="S6" s="5" t="str">
        <f>IF(MIN(Data_Table[[#This Row],[Grammar &amp; Syntax ]:[Quality of First Response]])&lt;=1,"Fail",IF(MIN(Data_Table[[#This Row],[Grammar &amp; Syntax ]:[Quality of First Response]])=2,"Neutral","Pass"))</f>
        <v>Pass</v>
      </c>
      <c r="T6" s="5" t="str">
        <f>IF(MIN(Data_Table[[#This Row],[Grammar &amp; Syntax ]:[Quality of First Response]])&lt;=1,"Fail",IF(MIN(Data_Table[[#This Row],[Grammar &amp; Syntax ]:[Quality of First Response]])=2,"Pass","Pass"))</f>
        <v>Pass</v>
      </c>
      <c r="U6" s="5">
        <f>IF(Data_Table[[#This Row],[Compliance Critical PF]]="Fail",1,0)</f>
        <v>0</v>
      </c>
      <c r="V6" s="5"/>
      <c r="W6" s="8">
        <v>3</v>
      </c>
      <c r="X6" s="8">
        <v>3</v>
      </c>
      <c r="Y6" s="8">
        <v>3</v>
      </c>
      <c r="Z6" s="8">
        <v>3</v>
      </c>
      <c r="AA6" s="1" t="s">
        <v>12</v>
      </c>
      <c r="AB6" s="8">
        <v>3</v>
      </c>
      <c r="AC6" s="8">
        <v>3</v>
      </c>
      <c r="AD6" s="8">
        <v>3</v>
      </c>
      <c r="AE6" s="1" t="s">
        <v>12</v>
      </c>
      <c r="AF6" s="7" t="s">
        <v>12</v>
      </c>
      <c r="AG6" s="7" t="str">
        <f>IF(MIN(Data_Table[[#This Row],[Priority Level]:[Effective escalation ]])&lt;=1,"Fail",IF(MIN(Data_Table[[#This Row],[Priority Level]:[Effective escalation ]])=2,"Neutral","Pass"))</f>
        <v>Pass</v>
      </c>
      <c r="AH6" s="2" t="str">
        <f>IF(MIN(Data_Table[[#This Row],[Priority Level]:[Effective escalation ]])&lt;=1,"Fail",IF(MIN(Data_Table[[#This Row],[Priority Level]:[Effective escalation ]])=2,"Pass","Pass"))</f>
        <v>Pass</v>
      </c>
      <c r="AI6" s="2" t="str">
        <f>IF(Data_Table[[#This Row],[Business Critical PF]]="Fail",1,"")</f>
        <v/>
      </c>
      <c r="AJ6" s="5"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6"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6" s="5" t="str">
        <f>IF(Data_Table[[#This Row],[Attribute Fail Rate PF]]="Fail",1,"")</f>
        <v/>
      </c>
      <c r="AM6" s="5">
        <f>1</f>
        <v>1</v>
      </c>
      <c r="AN6" s="5" t="str">
        <f>IF(Data_Table[[#This Row],[Attribute Fail Rate PF]]="Fail",Data_Table[[#This Row],[Ticket ID]],"")</f>
        <v/>
      </c>
      <c r="AO6" s="5" t="str" cm="1">
        <f t="array" ref="AO6">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7" spans="1:41" ht="15" customHeight="1" x14ac:dyDescent="0.25">
      <c r="A7" s="10">
        <v>44858</v>
      </c>
      <c r="B7" s="1" t="s">
        <v>4</v>
      </c>
      <c r="C7" s="1">
        <f t="shared" si="0"/>
        <v>44</v>
      </c>
      <c r="D7" s="1">
        <f>MATCH(Data_Table[[#This Row],[Week]],_xlfn._xlws.SORT(_xlfn.UNIQUE(Data_Table[Week]),1,-1),0)</f>
        <v>4</v>
      </c>
      <c r="E7" s="1" t="str">
        <f>TEXT(Data_Table[[#This Row],[Date of the Ticket for Review]],"mmm")</f>
        <v>Oct</v>
      </c>
      <c r="F7" s="8">
        <v>863243</v>
      </c>
      <c r="G7" s="8" t="str">
        <f>VLOOKUP(F7,Agent_Table[],2,FALSE)</f>
        <v>Islam Ghiboub</v>
      </c>
      <c r="H7" s="8" t="str">
        <f>IFERROR(VLOOKUP(Data_Table[[#This Row],[Ticket ID]],Product_Table[],2,FALSE),"")</f>
        <v/>
      </c>
      <c r="I7" s="3" t="s">
        <v>2</v>
      </c>
      <c r="J7" s="8">
        <v>3</v>
      </c>
      <c r="K7" s="8">
        <v>3</v>
      </c>
      <c r="L7" s="8">
        <v>3</v>
      </c>
      <c r="M7" s="8">
        <v>3</v>
      </c>
      <c r="N7" s="8">
        <v>3</v>
      </c>
      <c r="O7" s="8">
        <v>3</v>
      </c>
      <c r="P7" s="8">
        <v>3</v>
      </c>
      <c r="Q7" s="8">
        <v>3</v>
      </c>
      <c r="R7" s="5" t="s">
        <v>3</v>
      </c>
      <c r="S7" s="5" t="str">
        <f>IF(MIN(Data_Table[[#This Row],[Grammar &amp; Syntax ]:[Quality of First Response]])&lt;=1,"Fail",IF(MIN(Data_Table[[#This Row],[Grammar &amp; Syntax ]:[Quality of First Response]])=2,"Neutral","Pass"))</f>
        <v>Pass</v>
      </c>
      <c r="T7" s="5" t="str">
        <f>IF(MIN(Data_Table[[#This Row],[Grammar &amp; Syntax ]:[Quality of First Response]])&lt;=1,"Fail",IF(MIN(Data_Table[[#This Row],[Grammar &amp; Syntax ]:[Quality of First Response]])=2,"Pass","Pass"))</f>
        <v>Pass</v>
      </c>
      <c r="U7" s="5">
        <f>IF(Data_Table[[#This Row],[Compliance Critical PF]]="Fail",1,0)</f>
        <v>0</v>
      </c>
      <c r="V7" s="5"/>
      <c r="W7" s="8">
        <v>3</v>
      </c>
      <c r="X7" s="8">
        <v>3</v>
      </c>
      <c r="Y7" s="8">
        <v>3</v>
      </c>
      <c r="Z7" s="8">
        <v>3</v>
      </c>
      <c r="AA7" s="1" t="s">
        <v>12</v>
      </c>
      <c r="AB7" s="8">
        <v>3</v>
      </c>
      <c r="AC7" s="8">
        <v>3</v>
      </c>
      <c r="AD7" s="8">
        <v>3</v>
      </c>
      <c r="AE7" s="1" t="s">
        <v>12</v>
      </c>
      <c r="AF7" s="7" t="s">
        <v>12</v>
      </c>
      <c r="AG7" s="7" t="str">
        <f>IF(MIN(Data_Table[[#This Row],[Priority Level]:[Effective escalation ]])&lt;=1,"Fail",IF(MIN(Data_Table[[#This Row],[Priority Level]:[Effective escalation ]])=2,"Neutral","Pass"))</f>
        <v>Pass</v>
      </c>
      <c r="AH7" s="2" t="str">
        <f>IF(MIN(Data_Table[[#This Row],[Priority Level]:[Effective escalation ]])&lt;=1,"Fail",IF(MIN(Data_Table[[#This Row],[Priority Level]:[Effective escalation ]])=2,"Pass","Pass"))</f>
        <v>Pass</v>
      </c>
      <c r="AI7" s="2" t="str">
        <f>IF(Data_Table[[#This Row],[Business Critical PF]]="Fail",1,"")</f>
        <v/>
      </c>
      <c r="AJ7" s="5"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7"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7" s="5" t="str">
        <f>IF(Data_Table[[#This Row],[Attribute Fail Rate PF]]="Fail",1,"")</f>
        <v/>
      </c>
      <c r="AM7" s="5">
        <f>1</f>
        <v>1</v>
      </c>
      <c r="AN7" s="5" t="str">
        <f>IF(Data_Table[[#This Row],[Attribute Fail Rate PF]]="Fail",Data_Table[[#This Row],[Ticket ID]],"")</f>
        <v/>
      </c>
      <c r="AO7" s="5" t="str" cm="1">
        <f t="array" ref="AO7">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8" spans="1:41" ht="15" customHeight="1" x14ac:dyDescent="0.25">
      <c r="A8" s="10">
        <v>44859</v>
      </c>
      <c r="B8" s="1" t="s">
        <v>4</v>
      </c>
      <c r="C8" s="1">
        <f t="shared" si="0"/>
        <v>44</v>
      </c>
      <c r="D8" s="1">
        <f>MATCH(Data_Table[[#This Row],[Week]],_xlfn._xlws.SORT(_xlfn.UNIQUE(Data_Table[Week]),1,-1),0)</f>
        <v>4</v>
      </c>
      <c r="E8" s="1" t="str">
        <f>TEXT(Data_Table[[#This Row],[Date of the Ticket for Review]],"mmm")</f>
        <v>Oct</v>
      </c>
      <c r="F8" s="8">
        <v>864581</v>
      </c>
      <c r="G8" s="8" t="str">
        <f>VLOOKUP(F8,Agent_Table[],2,FALSE)</f>
        <v>Aldrin Sneha Priyanka</v>
      </c>
      <c r="H8" s="8" t="str">
        <f>IFERROR(VLOOKUP(Data_Table[[#This Row],[Ticket ID]],Product_Table[],2,FALSE),"")</f>
        <v/>
      </c>
      <c r="I8" s="3" t="s">
        <v>2</v>
      </c>
      <c r="J8" s="8">
        <v>3</v>
      </c>
      <c r="K8" s="8">
        <v>3</v>
      </c>
      <c r="L8" s="8">
        <v>3</v>
      </c>
      <c r="M8" s="8">
        <v>3</v>
      </c>
      <c r="N8" s="8">
        <v>3</v>
      </c>
      <c r="O8" s="8">
        <v>3</v>
      </c>
      <c r="P8" s="8">
        <v>3</v>
      </c>
      <c r="Q8" s="8">
        <v>3</v>
      </c>
      <c r="R8" s="5" t="s">
        <v>3</v>
      </c>
      <c r="S8" s="5" t="str">
        <f>IF(MIN(Data_Table[[#This Row],[Grammar &amp; Syntax ]:[Quality of First Response]])&lt;=1,"Fail",IF(MIN(Data_Table[[#This Row],[Grammar &amp; Syntax ]:[Quality of First Response]])=2,"Neutral","Pass"))</f>
        <v>Pass</v>
      </c>
      <c r="T8" s="5" t="str">
        <f>IF(MIN(Data_Table[[#This Row],[Grammar &amp; Syntax ]:[Quality of First Response]])&lt;=1,"Fail",IF(MIN(Data_Table[[#This Row],[Grammar &amp; Syntax ]:[Quality of First Response]])=2,"Pass","Pass"))</f>
        <v>Pass</v>
      </c>
      <c r="U8" s="5">
        <f>IF(Data_Table[[#This Row],[Compliance Critical PF]]="Fail",1,0)</f>
        <v>0</v>
      </c>
      <c r="V8" s="5"/>
      <c r="W8" s="8">
        <v>3</v>
      </c>
      <c r="X8" s="8">
        <v>3</v>
      </c>
      <c r="Y8" s="8">
        <v>3</v>
      </c>
      <c r="Z8" s="8">
        <v>3</v>
      </c>
      <c r="AA8" s="1" t="s">
        <v>12</v>
      </c>
      <c r="AB8" s="8">
        <v>3</v>
      </c>
      <c r="AC8" s="8">
        <v>3</v>
      </c>
      <c r="AD8" s="8">
        <v>3</v>
      </c>
      <c r="AE8" s="1" t="s">
        <v>12</v>
      </c>
      <c r="AF8" s="7" t="s">
        <v>12</v>
      </c>
      <c r="AG8" s="7" t="str">
        <f>IF(MIN(Data_Table[[#This Row],[Priority Level]:[Effective escalation ]])&lt;=1,"Fail",IF(MIN(Data_Table[[#This Row],[Priority Level]:[Effective escalation ]])=2,"Neutral","Pass"))</f>
        <v>Pass</v>
      </c>
      <c r="AH8" s="2" t="str">
        <f>IF(MIN(Data_Table[[#This Row],[Priority Level]:[Effective escalation ]])&lt;=1,"Fail",IF(MIN(Data_Table[[#This Row],[Priority Level]:[Effective escalation ]])=2,"Pass","Pass"))</f>
        <v>Pass</v>
      </c>
      <c r="AI8" s="2" t="str">
        <f>IF(Data_Table[[#This Row],[Business Critical PF]]="Fail",1,"")</f>
        <v/>
      </c>
      <c r="AJ8" s="5"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8"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8" s="5" t="str">
        <f>IF(Data_Table[[#This Row],[Attribute Fail Rate PF]]="Fail",1,"")</f>
        <v/>
      </c>
      <c r="AM8" s="5">
        <f>1</f>
        <v>1</v>
      </c>
      <c r="AN8" s="5" t="str">
        <f>IF(Data_Table[[#This Row],[Attribute Fail Rate PF]]="Fail",Data_Table[[#This Row],[Ticket ID]],"")</f>
        <v/>
      </c>
      <c r="AO8" s="5" t="str" cm="1">
        <f t="array" ref="AO8">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9" spans="1:41" ht="15" customHeight="1" x14ac:dyDescent="0.25">
      <c r="A9" s="10">
        <v>44858</v>
      </c>
      <c r="B9" s="1" t="s">
        <v>4</v>
      </c>
      <c r="C9" s="1">
        <f t="shared" si="0"/>
        <v>44</v>
      </c>
      <c r="D9" s="1">
        <f>MATCH(Data_Table[[#This Row],[Week]],_xlfn._xlws.SORT(_xlfn.UNIQUE(Data_Table[Week]),1,-1),0)</f>
        <v>4</v>
      </c>
      <c r="E9" s="1" t="str">
        <f>TEXT(Data_Table[[#This Row],[Date of the Ticket for Review]],"mmm")</f>
        <v>Oct</v>
      </c>
      <c r="F9" s="8">
        <v>863071</v>
      </c>
      <c r="G9" s="8" t="str">
        <f>VLOOKUP(F9,Agent_Table[],2,FALSE)</f>
        <v>Aldrin Sneha Priyanka</v>
      </c>
      <c r="H9" s="9" t="str">
        <f>IFERROR(VLOOKUP(Data_Table[[#This Row],[Ticket ID]],Product_Table[],2,FALSE),"")</f>
        <v/>
      </c>
      <c r="I9" s="3" t="s">
        <v>2</v>
      </c>
      <c r="J9" s="8">
        <v>3</v>
      </c>
      <c r="K9" s="8">
        <v>3</v>
      </c>
      <c r="L9" s="8">
        <v>3</v>
      </c>
      <c r="M9" s="8">
        <v>3</v>
      </c>
      <c r="N9" s="8">
        <v>3</v>
      </c>
      <c r="O9" s="8">
        <v>3</v>
      </c>
      <c r="P9" s="8">
        <v>3</v>
      </c>
      <c r="Q9" s="8">
        <v>3</v>
      </c>
      <c r="R9" s="5" t="s">
        <v>3</v>
      </c>
      <c r="S9" s="5" t="str">
        <f>IF(MIN(Data_Table[[#This Row],[Grammar &amp; Syntax ]:[Quality of First Response]])&lt;=1,"Fail",IF(MIN(Data_Table[[#This Row],[Grammar &amp; Syntax ]:[Quality of First Response]])=2,"Neutral","Pass"))</f>
        <v>Pass</v>
      </c>
      <c r="T9" s="5" t="str">
        <f>IF(MIN(Data_Table[[#This Row],[Grammar &amp; Syntax ]:[Quality of First Response]])&lt;=1,"Fail",IF(MIN(Data_Table[[#This Row],[Grammar &amp; Syntax ]:[Quality of First Response]])=2,"Pass","Pass"))</f>
        <v>Pass</v>
      </c>
      <c r="U9" s="5">
        <f>IF(Data_Table[[#This Row],[Compliance Critical PF]]="Fail",1,0)</f>
        <v>0</v>
      </c>
      <c r="V9" s="5"/>
      <c r="W9" s="8">
        <v>3</v>
      </c>
      <c r="X9" s="8">
        <v>3</v>
      </c>
      <c r="Y9" s="8">
        <v>3</v>
      </c>
      <c r="Z9" s="8">
        <v>3</v>
      </c>
      <c r="AA9" s="1" t="s">
        <v>12</v>
      </c>
      <c r="AB9" s="8">
        <v>3</v>
      </c>
      <c r="AC9" s="8">
        <v>3</v>
      </c>
      <c r="AD9" s="8">
        <v>3</v>
      </c>
      <c r="AE9" s="1" t="s">
        <v>12</v>
      </c>
      <c r="AF9" s="7" t="s">
        <v>12</v>
      </c>
      <c r="AG9" s="7" t="str">
        <f>IF(MIN(Data_Table[[#This Row],[Priority Level]:[Effective escalation ]])&lt;=1,"Fail",IF(MIN(Data_Table[[#This Row],[Priority Level]:[Effective escalation ]])=2,"Neutral","Pass"))</f>
        <v>Pass</v>
      </c>
      <c r="AH9" s="2" t="str">
        <f>IF(MIN(Data_Table[[#This Row],[Priority Level]:[Effective escalation ]])&lt;=1,"Fail",IF(MIN(Data_Table[[#This Row],[Priority Level]:[Effective escalation ]])=2,"Pass","Pass"))</f>
        <v>Pass</v>
      </c>
      <c r="AI9" s="2" t="str">
        <f>IF(Data_Table[[#This Row],[Business Critical PF]]="Fail",1,"")</f>
        <v/>
      </c>
      <c r="AJ9" s="5"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9"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9" s="5" t="str">
        <f>IF(Data_Table[[#This Row],[Attribute Fail Rate PF]]="Fail",1,"")</f>
        <v/>
      </c>
      <c r="AM9" s="5">
        <f>1</f>
        <v>1</v>
      </c>
      <c r="AN9" s="5" t="str">
        <f>IF(Data_Table[[#This Row],[Attribute Fail Rate PF]]="Fail",Data_Table[[#This Row],[Ticket ID]],"")</f>
        <v/>
      </c>
      <c r="AO9" s="5" t="str" cm="1">
        <f t="array" ref="AO9">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10" spans="1:41" ht="15" customHeight="1" x14ac:dyDescent="0.25">
      <c r="A10" s="10">
        <v>44859</v>
      </c>
      <c r="B10" s="1" t="s">
        <v>6</v>
      </c>
      <c r="C10" s="1">
        <f t="shared" si="0"/>
        <v>44</v>
      </c>
      <c r="D10" s="1">
        <f>MATCH(Data_Table[[#This Row],[Week]],_xlfn._xlws.SORT(_xlfn.UNIQUE(Data_Table[Week]),1,-1),0)</f>
        <v>4</v>
      </c>
      <c r="E10" s="1" t="str">
        <f>TEXT(Data_Table[[#This Row],[Date of the Ticket for Review]],"mmm")</f>
        <v>Oct</v>
      </c>
      <c r="F10" s="8">
        <v>865188</v>
      </c>
      <c r="G10" s="8" t="str">
        <f>VLOOKUP(F10,Agent_Table[],2,FALSE)</f>
        <v>Sithu Hein</v>
      </c>
      <c r="H10" s="9" t="str">
        <f>IFERROR(VLOOKUP(Data_Table[[#This Row],[Ticket ID]],Product_Table[],2,FALSE),"")</f>
        <v/>
      </c>
      <c r="I10" s="3" t="s">
        <v>7</v>
      </c>
      <c r="J10" s="8">
        <v>3</v>
      </c>
      <c r="K10" s="8">
        <v>3</v>
      </c>
      <c r="L10" s="8">
        <v>3</v>
      </c>
      <c r="M10" s="8">
        <v>3</v>
      </c>
      <c r="N10" s="8">
        <v>3</v>
      </c>
      <c r="O10" s="8">
        <v>3</v>
      </c>
      <c r="P10" s="8">
        <v>3</v>
      </c>
      <c r="Q10" s="8">
        <v>3</v>
      </c>
      <c r="R10" s="5" t="s">
        <v>3</v>
      </c>
      <c r="S10" s="5" t="str">
        <f>IF(MIN(Data_Table[[#This Row],[Grammar &amp; Syntax ]:[Quality of First Response]])&lt;=1,"Fail",IF(MIN(Data_Table[[#This Row],[Grammar &amp; Syntax ]:[Quality of First Response]])=2,"Neutral","Pass"))</f>
        <v>Pass</v>
      </c>
      <c r="T10" s="5" t="str">
        <f>IF(MIN(Data_Table[[#This Row],[Grammar &amp; Syntax ]:[Quality of First Response]])&lt;=1,"Fail",IF(MIN(Data_Table[[#This Row],[Grammar &amp; Syntax ]:[Quality of First Response]])=2,"Pass","Pass"))</f>
        <v>Pass</v>
      </c>
      <c r="U10" s="5">
        <f>IF(Data_Table[[#This Row],[Compliance Critical PF]]="Fail",1,0)</f>
        <v>0</v>
      </c>
      <c r="V10" s="5"/>
      <c r="W10" s="8">
        <v>3</v>
      </c>
      <c r="X10" s="8">
        <v>3</v>
      </c>
      <c r="Y10" s="8">
        <v>3</v>
      </c>
      <c r="Z10" s="8">
        <v>3</v>
      </c>
      <c r="AA10" s="1" t="s">
        <v>12</v>
      </c>
      <c r="AB10" s="8">
        <v>3</v>
      </c>
      <c r="AC10" s="8">
        <v>3</v>
      </c>
      <c r="AD10" s="8">
        <v>3</v>
      </c>
      <c r="AE10" s="1" t="s">
        <v>12</v>
      </c>
      <c r="AF10" s="7" t="s">
        <v>111</v>
      </c>
      <c r="AG10" s="7" t="str">
        <f>IF(MIN(Data_Table[[#This Row],[Priority Level]:[Effective escalation ]])&lt;=1,"Fail",IF(MIN(Data_Table[[#This Row],[Priority Level]:[Effective escalation ]])=2,"Neutral","Pass"))</f>
        <v>Pass</v>
      </c>
      <c r="AH10" s="2" t="str">
        <f>IF(MIN(Data_Table[[#This Row],[Priority Level]:[Effective escalation ]])&lt;=1,"Fail",IF(MIN(Data_Table[[#This Row],[Priority Level]:[Effective escalation ]])=2,"Pass","Pass"))</f>
        <v>Pass</v>
      </c>
      <c r="AI10" s="2" t="str">
        <f>IF(Data_Table[[#This Row],[Business Critical PF]]="Fail",1,"")</f>
        <v/>
      </c>
      <c r="AJ10" s="5"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10"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10" s="5" t="str">
        <f>IF(Data_Table[[#This Row],[Attribute Fail Rate PF]]="Fail",1,"")</f>
        <v/>
      </c>
      <c r="AM10" s="5">
        <f>1</f>
        <v>1</v>
      </c>
      <c r="AN10" s="5" t="str">
        <f>IF(Data_Table[[#This Row],[Attribute Fail Rate PF]]="Fail",Data_Table[[#This Row],[Ticket ID]],"")</f>
        <v/>
      </c>
      <c r="AO10" s="5" t="str" cm="1">
        <f t="array" ref="AO10">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11" spans="1:41" ht="15" customHeight="1" x14ac:dyDescent="0.25">
      <c r="A11" s="10">
        <v>44859</v>
      </c>
      <c r="B11" s="1" t="s">
        <v>6</v>
      </c>
      <c r="C11" s="1">
        <f t="shared" si="0"/>
        <v>44</v>
      </c>
      <c r="D11" s="1">
        <f>MATCH(Data_Table[[#This Row],[Week]],_xlfn._xlws.SORT(_xlfn.UNIQUE(Data_Table[Week]),1,-1),0)</f>
        <v>4</v>
      </c>
      <c r="E11" s="1" t="str">
        <f>TEXT(Data_Table[[#This Row],[Date of the Ticket for Review]],"mmm")</f>
        <v>Oct</v>
      </c>
      <c r="F11" s="8">
        <v>863743</v>
      </c>
      <c r="G11" s="8" t="str">
        <f>VLOOKUP(F11,Agent_Table[],2,FALSE)</f>
        <v>Sithu Hein</v>
      </c>
      <c r="H11" s="9" t="str">
        <f>IFERROR(VLOOKUP(Data_Table[[#This Row],[Ticket ID]],Product_Table[],2,FALSE),"")</f>
        <v/>
      </c>
      <c r="I11" s="3" t="s">
        <v>2</v>
      </c>
      <c r="J11" s="8">
        <v>3</v>
      </c>
      <c r="K11" s="8">
        <v>3</v>
      </c>
      <c r="L11" s="8">
        <v>3</v>
      </c>
      <c r="M11" s="8">
        <v>3</v>
      </c>
      <c r="N11" s="8">
        <v>3</v>
      </c>
      <c r="O11" s="8">
        <v>3</v>
      </c>
      <c r="P11" s="8">
        <v>3</v>
      </c>
      <c r="Q11" s="8">
        <v>3</v>
      </c>
      <c r="R11" s="5" t="s">
        <v>3</v>
      </c>
      <c r="S11" s="5" t="str">
        <f>IF(MIN(Data_Table[[#This Row],[Grammar &amp; Syntax ]:[Quality of First Response]])&lt;=1,"Fail",IF(MIN(Data_Table[[#This Row],[Grammar &amp; Syntax ]:[Quality of First Response]])=2,"Neutral","Pass"))</f>
        <v>Pass</v>
      </c>
      <c r="T11" s="5" t="str">
        <f>IF(MIN(Data_Table[[#This Row],[Grammar &amp; Syntax ]:[Quality of First Response]])&lt;=1,"Fail",IF(MIN(Data_Table[[#This Row],[Grammar &amp; Syntax ]:[Quality of First Response]])=2,"Pass","Pass"))</f>
        <v>Pass</v>
      </c>
      <c r="U11" s="5">
        <f>IF(Data_Table[[#This Row],[Compliance Critical PF]]="Fail",1,0)</f>
        <v>0</v>
      </c>
      <c r="V11" s="5"/>
      <c r="W11" s="8">
        <v>3</v>
      </c>
      <c r="X11" s="8">
        <v>3</v>
      </c>
      <c r="Y11" s="8">
        <v>3</v>
      </c>
      <c r="Z11" s="8">
        <v>3</v>
      </c>
      <c r="AA11" s="1" t="s">
        <v>12</v>
      </c>
      <c r="AB11" s="8">
        <v>2</v>
      </c>
      <c r="AC11" s="8">
        <v>3</v>
      </c>
      <c r="AD11" s="8">
        <v>3</v>
      </c>
      <c r="AE11" s="8">
        <v>3</v>
      </c>
      <c r="AF11" s="7" t="s">
        <v>110</v>
      </c>
      <c r="AG11" s="7" t="str">
        <f>IF(MIN(Data_Table[[#This Row],[Priority Level]:[Effective escalation ]])&lt;=1,"Fail",IF(MIN(Data_Table[[#This Row],[Priority Level]:[Effective escalation ]])=2,"Neutral","Pass"))</f>
        <v>Neutral</v>
      </c>
      <c r="AH11" s="2" t="str">
        <f>IF(MIN(Data_Table[[#This Row],[Priority Level]:[Effective escalation ]])&lt;=1,"Fail",IF(MIN(Data_Table[[#This Row],[Priority Level]:[Effective escalation ]])=2,"Pass","Pass"))</f>
        <v>Pass</v>
      </c>
      <c r="AI11" s="2" t="str">
        <f>IF(Data_Table[[#This Row],[Business Critical PF]]="Fail",1,"")</f>
        <v/>
      </c>
      <c r="AJ11" s="5" t="str">
        <f>IF(MIN(Data_Table[[#This Row],[Grammar &amp; Syntax ]:[Quality of First Response]],Data_Table[[#This Row],[Priority Level]:[Effective escalation ]])&lt;=1,"Fail",IF(MIN(Data_Table[[#This Row],[Grammar &amp; Syntax ]:[Quality of First Response]],Data_Table[[#This Row],[Priority Level]:[Effective escalation ]])=2,"Neutral","Pass"))</f>
        <v>Neutral</v>
      </c>
      <c r="AK11"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11" s="5" t="str">
        <f>IF(Data_Table[[#This Row],[Attribute Fail Rate PF]]="Fail",1,"")</f>
        <v/>
      </c>
      <c r="AM11" s="5">
        <f>1</f>
        <v>1</v>
      </c>
      <c r="AN11" s="5" t="str">
        <f>IF(Data_Table[[#This Row],[Attribute Fail Rate PF]]="Fail",Data_Table[[#This Row],[Ticket ID]],"")</f>
        <v/>
      </c>
      <c r="AO11" s="5" t="str" cm="1">
        <f t="array" ref="AO11">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12" spans="1:41" ht="15" customHeight="1" x14ac:dyDescent="0.25">
      <c r="A12" s="10">
        <v>44862</v>
      </c>
      <c r="B12" s="1" t="s">
        <v>6</v>
      </c>
      <c r="C12" s="1">
        <f t="shared" si="0"/>
        <v>44</v>
      </c>
      <c r="D12" s="1">
        <f>MATCH(Data_Table[[#This Row],[Week]],_xlfn._xlws.SORT(_xlfn.UNIQUE(Data_Table[Week]),1,-1),0)</f>
        <v>4</v>
      </c>
      <c r="E12" s="1" t="str">
        <f>TEXT(Data_Table[[#This Row],[Date of the Ticket for Review]],"mmm")</f>
        <v>Oct</v>
      </c>
      <c r="F12" s="8">
        <v>869668</v>
      </c>
      <c r="G12" s="8" t="str">
        <f>VLOOKUP(F12,Agent_Table[],2,FALSE)</f>
        <v>Rafael Cardoso</v>
      </c>
      <c r="H12" s="9" t="str">
        <f>IFERROR(VLOOKUP(Data_Table[[#This Row],[Ticket ID]],Product_Table[],2,FALSE),"")</f>
        <v/>
      </c>
      <c r="I12" s="3" t="s">
        <v>2</v>
      </c>
      <c r="J12" s="8">
        <v>3</v>
      </c>
      <c r="K12" s="8">
        <v>3</v>
      </c>
      <c r="L12" s="8">
        <v>3</v>
      </c>
      <c r="M12" s="8">
        <v>3</v>
      </c>
      <c r="N12" s="8">
        <v>3</v>
      </c>
      <c r="O12" s="8">
        <v>3</v>
      </c>
      <c r="P12" s="8">
        <v>3</v>
      </c>
      <c r="Q12" s="8">
        <v>3</v>
      </c>
      <c r="R12" s="5" t="s">
        <v>3</v>
      </c>
      <c r="S12" s="5" t="str">
        <f>IF(MIN(Data_Table[[#This Row],[Grammar &amp; Syntax ]:[Quality of First Response]])&lt;=1,"Fail",IF(MIN(Data_Table[[#This Row],[Grammar &amp; Syntax ]:[Quality of First Response]])=2,"Neutral","Pass"))</f>
        <v>Pass</v>
      </c>
      <c r="T12" s="5" t="str">
        <f>IF(MIN(Data_Table[[#This Row],[Grammar &amp; Syntax ]:[Quality of First Response]])&lt;=1,"Fail",IF(MIN(Data_Table[[#This Row],[Grammar &amp; Syntax ]:[Quality of First Response]])=2,"Pass","Pass"))</f>
        <v>Pass</v>
      </c>
      <c r="U12" s="5">
        <f>IF(Data_Table[[#This Row],[Compliance Critical PF]]="Fail",1,0)</f>
        <v>0</v>
      </c>
      <c r="V12" s="5"/>
      <c r="W12" s="8">
        <v>2</v>
      </c>
      <c r="X12" s="1" t="s">
        <v>12</v>
      </c>
      <c r="Y12" s="8">
        <v>3</v>
      </c>
      <c r="Z12" s="8">
        <v>1</v>
      </c>
      <c r="AA12" s="1" t="s">
        <v>12</v>
      </c>
      <c r="AB12" s="8">
        <v>3</v>
      </c>
      <c r="AC12" s="8">
        <v>2</v>
      </c>
      <c r="AD12" s="8">
        <v>2</v>
      </c>
      <c r="AE12" s="1" t="s">
        <v>12</v>
      </c>
      <c r="AF12" s="7" t="s">
        <v>109</v>
      </c>
      <c r="AG12" s="7" t="str">
        <f>IF(MIN(Data_Table[[#This Row],[Priority Level]:[Effective escalation ]])&lt;=1,"Fail",IF(MIN(Data_Table[[#This Row],[Priority Level]:[Effective escalation ]])=2,"Neutral","Pass"))</f>
        <v>Fail</v>
      </c>
      <c r="AH12" s="2" t="str">
        <f>IF(MIN(Data_Table[[#This Row],[Priority Level]:[Effective escalation ]])&lt;=1,"Fail",IF(MIN(Data_Table[[#This Row],[Priority Level]:[Effective escalation ]])=2,"Pass","Pass"))</f>
        <v>Fail</v>
      </c>
      <c r="AI12" s="2">
        <f>IF(Data_Table[[#This Row],[Business Critical PF]]="Fail",1,"")</f>
        <v>1</v>
      </c>
      <c r="AJ12" s="5" t="str">
        <f>IF(MIN(Data_Table[[#This Row],[Grammar &amp; Syntax ]:[Quality of First Response]],Data_Table[[#This Row],[Priority Level]:[Effective escalation ]])&lt;=1,"Fail",IF(MIN(Data_Table[[#This Row],[Grammar &amp; Syntax ]:[Quality of First Response]],Data_Table[[#This Row],[Priority Level]:[Effective escalation ]])=2,"Neutral","Pass"))</f>
        <v>Fail</v>
      </c>
      <c r="AK12" s="5" t="str">
        <f>IF(MIN(Data_Table[[#This Row],[Grammar &amp; Syntax ]:[Quality of First Response]],Data_Table[[#This Row],[Priority Level]:[Effective escalation ]])&lt;=1,"Fail",IF(MIN(Data_Table[[#This Row],[Grammar &amp; Syntax ]:[Quality of First Response]],Data_Table[[#This Row],[Priority Level]:[Effective escalation ]])=2,"Pass","Pass"))</f>
        <v>Fail</v>
      </c>
      <c r="AL12" s="5">
        <f>IF(Data_Table[[#This Row],[Attribute Fail Rate PF]]="Fail",1,"")</f>
        <v>1</v>
      </c>
      <c r="AM12" s="5">
        <f>1</f>
        <v>1</v>
      </c>
      <c r="AN12" s="5">
        <f>IF(Data_Table[[#This Row],[Attribute Fail Rate PF]]="Fail",Data_Table[[#This Row],[Ticket ID]],"")</f>
        <v>869668</v>
      </c>
      <c r="AO12" s="5" t="str" cm="1">
        <f t="array" ref="AO12">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Effective Inquiry</v>
      </c>
    </row>
    <row r="13" spans="1:41" ht="15" customHeight="1" x14ac:dyDescent="0.25">
      <c r="A13" s="10">
        <v>44860</v>
      </c>
      <c r="B13" s="1" t="s">
        <v>6</v>
      </c>
      <c r="C13" s="1">
        <f t="shared" si="0"/>
        <v>44</v>
      </c>
      <c r="D13" s="1">
        <f>MATCH(Data_Table[[#This Row],[Week]],_xlfn._xlws.SORT(_xlfn.UNIQUE(Data_Table[Week]),1,-1),0)</f>
        <v>4</v>
      </c>
      <c r="E13" s="1" t="str">
        <f>TEXT(Data_Table[[#This Row],[Date of the Ticket for Review]],"mmm")</f>
        <v>Oct</v>
      </c>
      <c r="F13" s="8">
        <v>865460</v>
      </c>
      <c r="G13" s="8" t="str">
        <f>VLOOKUP(F13,Agent_Table[],2,FALSE)</f>
        <v>Rafael Cardoso</v>
      </c>
      <c r="H13" s="9" t="str">
        <f>IFERROR(VLOOKUP(Data_Table[[#This Row],[Ticket ID]],Product_Table[],2,FALSE),"")</f>
        <v/>
      </c>
      <c r="I13" s="3" t="s">
        <v>2</v>
      </c>
      <c r="J13" s="8">
        <v>3</v>
      </c>
      <c r="K13" s="8">
        <v>3</v>
      </c>
      <c r="L13" s="8">
        <v>3</v>
      </c>
      <c r="M13" s="8">
        <v>3</v>
      </c>
      <c r="N13" s="8">
        <v>3</v>
      </c>
      <c r="O13" s="8">
        <v>3</v>
      </c>
      <c r="P13" s="8">
        <v>3</v>
      </c>
      <c r="Q13" s="8">
        <v>3</v>
      </c>
      <c r="R13" s="5" t="s">
        <v>3</v>
      </c>
      <c r="S13" s="5" t="str">
        <f>IF(MIN(Data_Table[[#This Row],[Grammar &amp; Syntax ]:[Quality of First Response]])&lt;=1,"Fail",IF(MIN(Data_Table[[#This Row],[Grammar &amp; Syntax ]:[Quality of First Response]])=2,"Neutral","Pass"))</f>
        <v>Pass</v>
      </c>
      <c r="T13" s="5" t="str">
        <f>IF(MIN(Data_Table[[#This Row],[Grammar &amp; Syntax ]:[Quality of First Response]])&lt;=1,"Fail",IF(MIN(Data_Table[[#This Row],[Grammar &amp; Syntax ]:[Quality of First Response]])=2,"Pass","Pass"))</f>
        <v>Pass</v>
      </c>
      <c r="U13" s="5">
        <f>IF(Data_Table[[#This Row],[Compliance Critical PF]]="Fail",1,0)</f>
        <v>0</v>
      </c>
      <c r="V13" s="5"/>
      <c r="W13" s="8">
        <v>3</v>
      </c>
      <c r="X13" s="8">
        <v>3</v>
      </c>
      <c r="Y13" s="8">
        <v>3</v>
      </c>
      <c r="Z13" s="8">
        <v>3</v>
      </c>
      <c r="AA13" s="1" t="s">
        <v>12</v>
      </c>
      <c r="AB13" s="8">
        <v>3</v>
      </c>
      <c r="AC13" s="8">
        <v>3</v>
      </c>
      <c r="AD13" s="8">
        <v>3</v>
      </c>
      <c r="AE13" s="1" t="s">
        <v>12</v>
      </c>
      <c r="AF13" s="7" t="s">
        <v>108</v>
      </c>
      <c r="AG13" s="7" t="str">
        <f>IF(MIN(Data_Table[[#This Row],[Priority Level]:[Effective escalation ]])&lt;=1,"Fail",IF(MIN(Data_Table[[#This Row],[Priority Level]:[Effective escalation ]])=2,"Neutral","Pass"))</f>
        <v>Pass</v>
      </c>
      <c r="AH13" s="2" t="str">
        <f>IF(MIN(Data_Table[[#This Row],[Priority Level]:[Effective escalation ]])&lt;=1,"Fail",IF(MIN(Data_Table[[#This Row],[Priority Level]:[Effective escalation ]])=2,"Pass","Pass"))</f>
        <v>Pass</v>
      </c>
      <c r="AI13" s="2" t="str">
        <f>IF(Data_Table[[#This Row],[Business Critical PF]]="Fail",1,"")</f>
        <v/>
      </c>
      <c r="AJ13" s="5"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13"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13" s="5" t="str">
        <f>IF(Data_Table[[#This Row],[Attribute Fail Rate PF]]="Fail",1,"")</f>
        <v/>
      </c>
      <c r="AM13" s="5">
        <f>1</f>
        <v>1</v>
      </c>
      <c r="AN13" s="5" t="str">
        <f>IF(Data_Table[[#This Row],[Attribute Fail Rate PF]]="Fail",Data_Table[[#This Row],[Ticket ID]],"")</f>
        <v/>
      </c>
      <c r="AO13" s="5" t="str" cm="1">
        <f t="array" ref="AO13">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14" spans="1:41" ht="15" customHeight="1" x14ac:dyDescent="0.25">
      <c r="A14" s="10">
        <v>44863</v>
      </c>
      <c r="B14" s="1" t="s">
        <v>6</v>
      </c>
      <c r="C14" s="1">
        <f t="shared" si="0"/>
        <v>44</v>
      </c>
      <c r="D14" s="1">
        <f>MATCH(Data_Table[[#This Row],[Week]],_xlfn._xlws.SORT(_xlfn.UNIQUE(Data_Table[Week]),1,-1),0)</f>
        <v>4</v>
      </c>
      <c r="E14" s="1" t="str">
        <f>TEXT(Data_Table[[#This Row],[Date of the Ticket for Review]],"mmm")</f>
        <v>Oct</v>
      </c>
      <c r="F14" s="8">
        <v>871270</v>
      </c>
      <c r="G14" s="8" t="str">
        <f>VLOOKUP(F14,Agent_Table[],2,FALSE)</f>
        <v>Leandro Morais</v>
      </c>
      <c r="H14" s="9" t="str">
        <f>IFERROR(VLOOKUP(Data_Table[[#This Row],[Ticket ID]],Product_Table[],2,FALSE),"")</f>
        <v/>
      </c>
      <c r="I14" s="3" t="s">
        <v>7</v>
      </c>
      <c r="J14" s="8">
        <v>3</v>
      </c>
      <c r="K14" s="8">
        <v>3</v>
      </c>
      <c r="L14" s="8">
        <v>3</v>
      </c>
      <c r="M14" s="8">
        <v>3</v>
      </c>
      <c r="N14" s="8">
        <v>3</v>
      </c>
      <c r="O14" s="8">
        <v>3</v>
      </c>
      <c r="P14" s="8">
        <v>3</v>
      </c>
      <c r="Q14" s="8">
        <v>3</v>
      </c>
      <c r="R14" s="5" t="s">
        <v>3</v>
      </c>
      <c r="S14" s="5" t="str">
        <f>IF(MIN(Data_Table[[#This Row],[Grammar &amp; Syntax ]:[Quality of First Response]])&lt;=1,"Fail",IF(MIN(Data_Table[[#This Row],[Grammar &amp; Syntax ]:[Quality of First Response]])=2,"Neutral","Pass"))</f>
        <v>Pass</v>
      </c>
      <c r="T14" s="5" t="str">
        <f>IF(MIN(Data_Table[[#This Row],[Grammar &amp; Syntax ]:[Quality of First Response]])&lt;=1,"Fail",IF(MIN(Data_Table[[#This Row],[Grammar &amp; Syntax ]:[Quality of First Response]])=2,"Pass","Pass"))</f>
        <v>Pass</v>
      </c>
      <c r="U14" s="5">
        <f>IF(Data_Table[[#This Row],[Compliance Critical PF]]="Fail",1,0)</f>
        <v>0</v>
      </c>
      <c r="V14" s="5"/>
      <c r="W14" s="8">
        <v>3</v>
      </c>
      <c r="X14" s="8">
        <v>3</v>
      </c>
      <c r="Y14" s="8">
        <v>3</v>
      </c>
      <c r="Z14" s="8">
        <v>3</v>
      </c>
      <c r="AA14" s="1" t="s">
        <v>12</v>
      </c>
      <c r="AB14" s="8">
        <v>2</v>
      </c>
      <c r="AC14" s="8">
        <v>3</v>
      </c>
      <c r="AD14" s="8">
        <v>3</v>
      </c>
      <c r="AE14" s="8">
        <v>3</v>
      </c>
      <c r="AF14" s="7" t="s">
        <v>107</v>
      </c>
      <c r="AG14" s="7" t="str">
        <f>IF(MIN(Data_Table[[#This Row],[Priority Level]:[Effective escalation ]])&lt;=1,"Fail",IF(MIN(Data_Table[[#This Row],[Priority Level]:[Effective escalation ]])=2,"Neutral","Pass"))</f>
        <v>Neutral</v>
      </c>
      <c r="AH14" s="2" t="str">
        <f>IF(MIN(Data_Table[[#This Row],[Priority Level]:[Effective escalation ]])&lt;=1,"Fail",IF(MIN(Data_Table[[#This Row],[Priority Level]:[Effective escalation ]])=2,"Pass","Pass"))</f>
        <v>Pass</v>
      </c>
      <c r="AI14" s="2" t="str">
        <f>IF(Data_Table[[#This Row],[Business Critical PF]]="Fail",1,"")</f>
        <v/>
      </c>
      <c r="AJ14" s="5" t="str">
        <f>IF(MIN(Data_Table[[#This Row],[Grammar &amp; Syntax ]:[Quality of First Response]],Data_Table[[#This Row],[Priority Level]:[Effective escalation ]])&lt;=1,"Fail",IF(MIN(Data_Table[[#This Row],[Grammar &amp; Syntax ]:[Quality of First Response]],Data_Table[[#This Row],[Priority Level]:[Effective escalation ]])=2,"Neutral","Pass"))</f>
        <v>Neutral</v>
      </c>
      <c r="AK14"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14" s="5" t="str">
        <f>IF(Data_Table[[#This Row],[Attribute Fail Rate PF]]="Fail",1,"")</f>
        <v/>
      </c>
      <c r="AM14" s="5">
        <f>1</f>
        <v>1</v>
      </c>
      <c r="AN14" s="5" t="str">
        <f>IF(Data_Table[[#This Row],[Attribute Fail Rate PF]]="Fail",Data_Table[[#This Row],[Ticket ID]],"")</f>
        <v/>
      </c>
      <c r="AO14" s="5" t="str" cm="1">
        <f t="array" ref="AO14">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15" spans="1:41" ht="15" customHeight="1" x14ac:dyDescent="0.25">
      <c r="A15" s="10">
        <v>44858</v>
      </c>
      <c r="B15" s="1" t="s">
        <v>6</v>
      </c>
      <c r="C15" s="1">
        <f t="shared" si="0"/>
        <v>44</v>
      </c>
      <c r="D15" s="1">
        <f>MATCH(Data_Table[[#This Row],[Week]],_xlfn._xlws.SORT(_xlfn.UNIQUE(Data_Table[Week]),1,-1),0)</f>
        <v>4</v>
      </c>
      <c r="E15" s="1" t="str">
        <f>TEXT(Data_Table[[#This Row],[Date of the Ticket for Review]],"mmm")</f>
        <v>Oct</v>
      </c>
      <c r="F15" s="8">
        <v>863532</v>
      </c>
      <c r="G15" s="8" t="str">
        <f>VLOOKUP(F15,Agent_Table[],2,FALSE)</f>
        <v>Leandro Morais</v>
      </c>
      <c r="H15" s="9" t="str">
        <f>IFERROR(VLOOKUP(Data_Table[[#This Row],[Ticket ID]],Product_Table[],2,FALSE),"")</f>
        <v/>
      </c>
      <c r="I15" s="3" t="s">
        <v>2</v>
      </c>
      <c r="J15" s="8">
        <v>3</v>
      </c>
      <c r="K15" s="8">
        <v>3</v>
      </c>
      <c r="L15" s="8">
        <v>3</v>
      </c>
      <c r="M15" s="8">
        <v>3</v>
      </c>
      <c r="N15" s="8">
        <v>3</v>
      </c>
      <c r="O15" s="8">
        <v>3</v>
      </c>
      <c r="P15" s="8">
        <v>3</v>
      </c>
      <c r="Q15" s="8">
        <v>3</v>
      </c>
      <c r="R15" s="5" t="s">
        <v>3</v>
      </c>
      <c r="S15" s="5" t="str">
        <f>IF(MIN(Data_Table[[#This Row],[Grammar &amp; Syntax ]:[Quality of First Response]])&lt;=1,"Fail",IF(MIN(Data_Table[[#This Row],[Grammar &amp; Syntax ]:[Quality of First Response]])=2,"Neutral","Pass"))</f>
        <v>Pass</v>
      </c>
      <c r="T15" s="5" t="str">
        <f>IF(MIN(Data_Table[[#This Row],[Grammar &amp; Syntax ]:[Quality of First Response]])&lt;=1,"Fail",IF(MIN(Data_Table[[#This Row],[Grammar &amp; Syntax ]:[Quality of First Response]])=2,"Pass","Pass"))</f>
        <v>Pass</v>
      </c>
      <c r="U15" s="5">
        <f>IF(Data_Table[[#This Row],[Compliance Critical PF]]="Fail",1,0)</f>
        <v>0</v>
      </c>
      <c r="V15" s="5"/>
      <c r="W15" s="8">
        <v>3</v>
      </c>
      <c r="X15" s="8">
        <v>2</v>
      </c>
      <c r="Y15" s="8">
        <v>2</v>
      </c>
      <c r="Z15" s="8">
        <v>3</v>
      </c>
      <c r="AA15" s="1" t="s">
        <v>12</v>
      </c>
      <c r="AB15" s="8">
        <v>2</v>
      </c>
      <c r="AC15" s="8">
        <v>3</v>
      </c>
      <c r="AD15" s="8">
        <v>1</v>
      </c>
      <c r="AE15" s="1" t="s">
        <v>12</v>
      </c>
      <c r="AF15" s="7" t="s">
        <v>106</v>
      </c>
      <c r="AG15" s="7" t="str">
        <f>IF(MIN(Data_Table[[#This Row],[Priority Level]:[Effective escalation ]])&lt;=1,"Fail",IF(MIN(Data_Table[[#This Row],[Priority Level]:[Effective escalation ]])=2,"Neutral","Pass"))</f>
        <v>Fail</v>
      </c>
      <c r="AH15" s="2" t="str">
        <f>IF(MIN(Data_Table[[#This Row],[Priority Level]:[Effective escalation ]])&lt;=1,"Fail",IF(MIN(Data_Table[[#This Row],[Priority Level]:[Effective escalation ]])=2,"Pass","Pass"))</f>
        <v>Fail</v>
      </c>
      <c r="AI15" s="2">
        <f>IF(Data_Table[[#This Row],[Business Critical PF]]="Fail",1,"")</f>
        <v>1</v>
      </c>
      <c r="AJ15" s="5" t="str">
        <f>IF(MIN(Data_Table[[#This Row],[Grammar &amp; Syntax ]:[Quality of First Response]],Data_Table[[#This Row],[Priority Level]:[Effective escalation ]])&lt;=1,"Fail",IF(MIN(Data_Table[[#This Row],[Grammar &amp; Syntax ]:[Quality of First Response]],Data_Table[[#This Row],[Priority Level]:[Effective escalation ]])=2,"Neutral","Pass"))</f>
        <v>Fail</v>
      </c>
      <c r="AK15" s="5" t="str">
        <f>IF(MIN(Data_Table[[#This Row],[Grammar &amp; Syntax ]:[Quality of First Response]],Data_Table[[#This Row],[Priority Level]:[Effective escalation ]])&lt;=1,"Fail",IF(MIN(Data_Table[[#This Row],[Grammar &amp; Syntax ]:[Quality of First Response]],Data_Table[[#This Row],[Priority Level]:[Effective escalation ]])=2,"Pass","Pass"))</f>
        <v>Fail</v>
      </c>
      <c r="AL15" s="5">
        <f>IF(Data_Table[[#This Row],[Attribute Fail Rate PF]]="Fail",1,"")</f>
        <v>1</v>
      </c>
      <c r="AM15" s="5">
        <f>1</f>
        <v>1</v>
      </c>
      <c r="AN15" s="5">
        <f>IF(Data_Table[[#This Row],[Attribute Fail Rate PF]]="Fail",Data_Table[[#This Row],[Ticket ID]],"")</f>
        <v>863532</v>
      </c>
      <c r="AO15" s="5" t="str" cm="1">
        <f t="array" ref="AO15">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Resolution time</v>
      </c>
    </row>
    <row r="16" spans="1:41" ht="15" customHeight="1" x14ac:dyDescent="0.25">
      <c r="A16" s="10">
        <v>44859</v>
      </c>
      <c r="B16" s="1" t="s">
        <v>6</v>
      </c>
      <c r="C16" s="1">
        <f t="shared" si="0"/>
        <v>44</v>
      </c>
      <c r="D16" s="1">
        <f>MATCH(Data_Table[[#This Row],[Week]],_xlfn._xlws.SORT(_xlfn.UNIQUE(Data_Table[Week]),1,-1),0)</f>
        <v>4</v>
      </c>
      <c r="E16" s="1" t="str">
        <f>TEXT(Data_Table[[#This Row],[Date of the Ticket for Review]],"mmm")</f>
        <v>Oct</v>
      </c>
      <c r="F16" s="8">
        <v>865296</v>
      </c>
      <c r="G16" s="8" t="str">
        <f>VLOOKUP(F16,Agent_Table[],2,FALSE)</f>
        <v>Elijah Cummings</v>
      </c>
      <c r="H16" s="9" t="str">
        <f>IFERROR(VLOOKUP(Data_Table[[#This Row],[Ticket ID]],Product_Table[],2,FALSE),"")</f>
        <v/>
      </c>
      <c r="I16" s="3" t="s">
        <v>2</v>
      </c>
      <c r="J16" s="8">
        <v>3</v>
      </c>
      <c r="K16" s="8">
        <v>3</v>
      </c>
      <c r="L16" s="8">
        <v>3</v>
      </c>
      <c r="M16" s="8">
        <v>3</v>
      </c>
      <c r="N16" s="8">
        <v>3</v>
      </c>
      <c r="O16" s="8">
        <v>3</v>
      </c>
      <c r="P16" s="8">
        <v>3</v>
      </c>
      <c r="Q16" s="8">
        <v>3</v>
      </c>
      <c r="R16" s="5" t="s">
        <v>3</v>
      </c>
      <c r="S16" s="5" t="str">
        <f>IF(MIN(Data_Table[[#This Row],[Grammar &amp; Syntax ]:[Quality of First Response]])&lt;=1,"Fail",IF(MIN(Data_Table[[#This Row],[Grammar &amp; Syntax ]:[Quality of First Response]])=2,"Neutral","Pass"))</f>
        <v>Pass</v>
      </c>
      <c r="T16" s="5" t="str">
        <f>IF(MIN(Data_Table[[#This Row],[Grammar &amp; Syntax ]:[Quality of First Response]])&lt;=1,"Fail",IF(MIN(Data_Table[[#This Row],[Grammar &amp; Syntax ]:[Quality of First Response]])=2,"Pass","Pass"))</f>
        <v>Pass</v>
      </c>
      <c r="U16" s="5">
        <f>IF(Data_Table[[#This Row],[Compliance Critical PF]]="Fail",1,0)</f>
        <v>0</v>
      </c>
      <c r="V16" s="5"/>
      <c r="W16" s="8">
        <v>3</v>
      </c>
      <c r="X16" s="8">
        <v>2</v>
      </c>
      <c r="Y16" s="8">
        <v>2</v>
      </c>
      <c r="Z16" s="8">
        <v>2</v>
      </c>
      <c r="AA16" s="8">
        <v>3</v>
      </c>
      <c r="AB16" s="8">
        <v>3</v>
      </c>
      <c r="AC16" s="1" t="s">
        <v>12</v>
      </c>
      <c r="AD16" s="1" t="s">
        <v>12</v>
      </c>
      <c r="AE16" s="8">
        <v>3</v>
      </c>
      <c r="AF16" s="7" t="s">
        <v>105</v>
      </c>
      <c r="AG16" s="7" t="str">
        <f>IF(MIN(Data_Table[[#This Row],[Priority Level]:[Effective escalation ]])&lt;=1,"Fail",IF(MIN(Data_Table[[#This Row],[Priority Level]:[Effective escalation ]])=2,"Neutral","Pass"))</f>
        <v>Neutral</v>
      </c>
      <c r="AH16" s="2" t="str">
        <f>IF(MIN(Data_Table[[#This Row],[Priority Level]:[Effective escalation ]])&lt;=1,"Fail",IF(MIN(Data_Table[[#This Row],[Priority Level]:[Effective escalation ]])=2,"Pass","Pass"))</f>
        <v>Pass</v>
      </c>
      <c r="AI16" s="2" t="str">
        <f>IF(Data_Table[[#This Row],[Business Critical PF]]="Fail",1,"")</f>
        <v/>
      </c>
      <c r="AJ16" s="5" t="str">
        <f>IF(MIN(Data_Table[[#This Row],[Grammar &amp; Syntax ]:[Quality of First Response]],Data_Table[[#This Row],[Priority Level]:[Effective escalation ]])&lt;=1,"Fail",IF(MIN(Data_Table[[#This Row],[Grammar &amp; Syntax ]:[Quality of First Response]],Data_Table[[#This Row],[Priority Level]:[Effective escalation ]])=2,"Neutral","Pass"))</f>
        <v>Neutral</v>
      </c>
      <c r="AK16"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16" s="5" t="str">
        <f>IF(Data_Table[[#This Row],[Attribute Fail Rate PF]]="Fail",1,"")</f>
        <v/>
      </c>
      <c r="AM16" s="5">
        <f>1</f>
        <v>1</v>
      </c>
      <c r="AN16" s="5" t="str">
        <f>IF(Data_Table[[#This Row],[Attribute Fail Rate PF]]="Fail",Data_Table[[#This Row],[Ticket ID]],"")</f>
        <v/>
      </c>
      <c r="AO16" s="5" t="str" cm="1">
        <f t="array" ref="AO16">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17" spans="1:41" ht="15" customHeight="1" x14ac:dyDescent="0.25">
      <c r="A17" s="10">
        <v>44859</v>
      </c>
      <c r="B17" s="1" t="s">
        <v>6</v>
      </c>
      <c r="C17" s="1">
        <f t="shared" si="0"/>
        <v>44</v>
      </c>
      <c r="D17" s="1">
        <f>MATCH(Data_Table[[#This Row],[Week]],_xlfn._xlws.SORT(_xlfn.UNIQUE(Data_Table[Week]),1,-1),0)</f>
        <v>4</v>
      </c>
      <c r="E17" s="1" t="str">
        <f>TEXT(Data_Table[[#This Row],[Date of the Ticket for Review]],"mmm")</f>
        <v>Oct</v>
      </c>
      <c r="F17" s="8">
        <v>863621</v>
      </c>
      <c r="G17" s="8" t="str">
        <f>VLOOKUP(F17,Agent_Table[],2,FALSE)</f>
        <v>Elijah Cummings</v>
      </c>
      <c r="H17" s="9" t="str">
        <f>IFERROR(VLOOKUP(Data_Table[[#This Row],[Ticket ID]],Product_Table[],2,FALSE),"")</f>
        <v/>
      </c>
      <c r="I17" s="3" t="s">
        <v>2</v>
      </c>
      <c r="J17" s="8">
        <v>3</v>
      </c>
      <c r="K17" s="8">
        <v>3</v>
      </c>
      <c r="L17" s="8">
        <v>3</v>
      </c>
      <c r="M17" s="8">
        <v>3</v>
      </c>
      <c r="N17" s="8">
        <v>3</v>
      </c>
      <c r="O17" s="8">
        <v>1</v>
      </c>
      <c r="P17" s="8">
        <v>3</v>
      </c>
      <c r="Q17" s="8">
        <v>3</v>
      </c>
      <c r="R17" s="5" t="s">
        <v>5</v>
      </c>
      <c r="S17" s="5" t="str">
        <f>IF(MIN(Data_Table[[#This Row],[Grammar &amp; Syntax ]:[Quality of First Response]])&lt;=1,"Fail",IF(MIN(Data_Table[[#This Row],[Grammar &amp; Syntax ]:[Quality of First Response]])=2,"Neutral","Pass"))</f>
        <v>Fail</v>
      </c>
      <c r="T17" s="5" t="str">
        <f>IF(MIN(Data_Table[[#This Row],[Grammar &amp; Syntax ]:[Quality of First Response]])&lt;=1,"Fail",IF(MIN(Data_Table[[#This Row],[Grammar &amp; Syntax ]:[Quality of First Response]])=2,"Pass","Pass"))</f>
        <v>Fail</v>
      </c>
      <c r="U17" s="5">
        <f>IF(Data_Table[[#This Row],[Compliance Critical PF]]="Fail",1,0)</f>
        <v>1</v>
      </c>
      <c r="V17" s="5"/>
      <c r="W17" s="1" t="s">
        <v>12</v>
      </c>
      <c r="X17" s="8">
        <v>3</v>
      </c>
      <c r="Y17" s="8">
        <v>2</v>
      </c>
      <c r="Z17" s="8">
        <v>1</v>
      </c>
      <c r="AA17" s="1" t="s">
        <v>12</v>
      </c>
      <c r="AB17" s="8">
        <v>3</v>
      </c>
      <c r="AC17" s="8">
        <v>3</v>
      </c>
      <c r="AD17" s="8">
        <v>1</v>
      </c>
      <c r="AE17" s="1" t="s">
        <v>12</v>
      </c>
      <c r="AF17" s="7" t="s">
        <v>104</v>
      </c>
      <c r="AG17" s="7" t="str">
        <f>IF(MIN(Data_Table[[#This Row],[Priority Level]:[Effective escalation ]])&lt;=1,"Fail",IF(MIN(Data_Table[[#This Row],[Priority Level]:[Effective escalation ]])=2,"Neutral","Pass"))</f>
        <v>Fail</v>
      </c>
      <c r="AH17" s="2" t="str">
        <f>IF(MIN(Data_Table[[#This Row],[Priority Level]:[Effective escalation ]])&lt;=1,"Fail",IF(MIN(Data_Table[[#This Row],[Priority Level]:[Effective escalation ]])=2,"Pass","Pass"))</f>
        <v>Fail</v>
      </c>
      <c r="AI17" s="2">
        <f>IF(Data_Table[[#This Row],[Business Critical PF]]="Fail",1,"")</f>
        <v>1</v>
      </c>
      <c r="AJ17" s="5" t="str">
        <f>IF(MIN(Data_Table[[#This Row],[Grammar &amp; Syntax ]:[Quality of First Response]],Data_Table[[#This Row],[Priority Level]:[Effective escalation ]])&lt;=1,"Fail",IF(MIN(Data_Table[[#This Row],[Grammar &amp; Syntax ]:[Quality of First Response]],Data_Table[[#This Row],[Priority Level]:[Effective escalation ]])=2,"Neutral","Pass"))</f>
        <v>Fail</v>
      </c>
      <c r="AK17" s="5" t="str">
        <f>IF(MIN(Data_Table[[#This Row],[Grammar &amp; Syntax ]:[Quality of First Response]],Data_Table[[#This Row],[Priority Level]:[Effective escalation ]])&lt;=1,"Fail",IF(MIN(Data_Table[[#This Row],[Grammar &amp; Syntax ]:[Quality of First Response]],Data_Table[[#This Row],[Priority Level]:[Effective escalation ]])=2,"Pass","Pass"))</f>
        <v>Fail</v>
      </c>
      <c r="AL17" s="5">
        <f>IF(Data_Table[[#This Row],[Attribute Fail Rate PF]]="Fail",1,"")</f>
        <v>1</v>
      </c>
      <c r="AM17" s="5">
        <f>1</f>
        <v>1</v>
      </c>
      <c r="AN17" s="5">
        <f>IF(Data_Table[[#This Row],[Attribute Fail Rate PF]]="Fail",Data_Table[[#This Row],[Ticket ID]],"")</f>
        <v>863621</v>
      </c>
      <c r="AO17" s="5" t="str" cm="1">
        <f t="array" ref="AO17">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Accountability &amp; Ownership , Effective Inquiry , Resolution time</v>
      </c>
    </row>
    <row r="18" spans="1:41" ht="15" customHeight="1" x14ac:dyDescent="0.25">
      <c r="A18" s="10">
        <v>44863</v>
      </c>
      <c r="B18" s="1" t="s">
        <v>6</v>
      </c>
      <c r="C18" s="1">
        <f t="shared" si="0"/>
        <v>44</v>
      </c>
      <c r="D18" s="1">
        <f>MATCH(Data_Table[[#This Row],[Week]],_xlfn._xlws.SORT(_xlfn.UNIQUE(Data_Table[Week]),1,-1),0)</f>
        <v>4</v>
      </c>
      <c r="E18" s="1" t="str">
        <f>TEXT(Data_Table[[#This Row],[Date of the Ticket for Review]],"mmm")</f>
        <v>Oct</v>
      </c>
      <c r="F18" s="8">
        <v>871305</v>
      </c>
      <c r="G18" s="8" t="str">
        <f>VLOOKUP(F18,Agent_Table[],2,FALSE)</f>
        <v>Bonnie Williams</v>
      </c>
      <c r="H18" s="9" t="str">
        <f>IFERROR(VLOOKUP(Data_Table[[#This Row],[Ticket ID]],Product_Table[],2,FALSE),"")</f>
        <v/>
      </c>
      <c r="I18" s="3" t="s">
        <v>2</v>
      </c>
      <c r="J18" s="8">
        <v>3</v>
      </c>
      <c r="K18" s="8">
        <v>3</v>
      </c>
      <c r="L18" s="8">
        <v>3</v>
      </c>
      <c r="M18" s="8">
        <v>3</v>
      </c>
      <c r="N18" s="8">
        <v>3</v>
      </c>
      <c r="O18" s="8">
        <v>3</v>
      </c>
      <c r="P18" s="8">
        <v>3</v>
      </c>
      <c r="Q18" s="8">
        <v>3</v>
      </c>
      <c r="R18" s="5" t="s">
        <v>3</v>
      </c>
      <c r="S18" s="5" t="str">
        <f>IF(MIN(Data_Table[[#This Row],[Grammar &amp; Syntax ]:[Quality of First Response]])&lt;=1,"Fail",IF(MIN(Data_Table[[#This Row],[Grammar &amp; Syntax ]:[Quality of First Response]])=2,"Neutral","Pass"))</f>
        <v>Pass</v>
      </c>
      <c r="T18" s="5" t="str">
        <f>IF(MIN(Data_Table[[#This Row],[Grammar &amp; Syntax ]:[Quality of First Response]])&lt;=1,"Fail",IF(MIN(Data_Table[[#This Row],[Grammar &amp; Syntax ]:[Quality of First Response]])=2,"Pass","Pass"))</f>
        <v>Pass</v>
      </c>
      <c r="U18" s="5">
        <f>IF(Data_Table[[#This Row],[Compliance Critical PF]]="Fail",1,0)</f>
        <v>0</v>
      </c>
      <c r="V18" s="5"/>
      <c r="W18" s="8">
        <v>3</v>
      </c>
      <c r="X18" s="8">
        <v>3</v>
      </c>
      <c r="Y18" s="8">
        <v>3</v>
      </c>
      <c r="Z18" s="8">
        <v>3</v>
      </c>
      <c r="AA18" s="1" t="s">
        <v>12</v>
      </c>
      <c r="AB18" s="8">
        <v>3</v>
      </c>
      <c r="AC18" s="8">
        <v>3</v>
      </c>
      <c r="AD18" s="8">
        <v>2</v>
      </c>
      <c r="AE18" s="1" t="s">
        <v>12</v>
      </c>
      <c r="AF18" s="7" t="s">
        <v>103</v>
      </c>
      <c r="AG18" s="7" t="str">
        <f>IF(MIN(Data_Table[[#This Row],[Priority Level]:[Effective escalation ]])&lt;=1,"Fail",IF(MIN(Data_Table[[#This Row],[Priority Level]:[Effective escalation ]])=2,"Neutral","Pass"))</f>
        <v>Neutral</v>
      </c>
      <c r="AH18" s="2" t="str">
        <f>IF(MIN(Data_Table[[#This Row],[Priority Level]:[Effective escalation ]])&lt;=1,"Fail",IF(MIN(Data_Table[[#This Row],[Priority Level]:[Effective escalation ]])=2,"Pass","Pass"))</f>
        <v>Pass</v>
      </c>
      <c r="AI18" s="2" t="str">
        <f>IF(Data_Table[[#This Row],[Business Critical PF]]="Fail",1,"")</f>
        <v/>
      </c>
      <c r="AJ18" s="5" t="str">
        <f>IF(MIN(Data_Table[[#This Row],[Grammar &amp; Syntax ]:[Quality of First Response]],Data_Table[[#This Row],[Priority Level]:[Effective escalation ]])&lt;=1,"Fail",IF(MIN(Data_Table[[#This Row],[Grammar &amp; Syntax ]:[Quality of First Response]],Data_Table[[#This Row],[Priority Level]:[Effective escalation ]])=2,"Neutral","Pass"))</f>
        <v>Neutral</v>
      </c>
      <c r="AK18"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18" s="5" t="str">
        <f>IF(Data_Table[[#This Row],[Attribute Fail Rate PF]]="Fail",1,"")</f>
        <v/>
      </c>
      <c r="AM18" s="5">
        <f>1</f>
        <v>1</v>
      </c>
      <c r="AN18" s="5" t="str">
        <f>IF(Data_Table[[#This Row],[Attribute Fail Rate PF]]="Fail",Data_Table[[#This Row],[Ticket ID]],"")</f>
        <v/>
      </c>
      <c r="AO18" s="5" t="str" cm="1">
        <f t="array" ref="AO18">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19" spans="1:41" ht="15" customHeight="1" x14ac:dyDescent="0.25">
      <c r="A19" s="10">
        <v>44860</v>
      </c>
      <c r="B19" s="1" t="s">
        <v>6</v>
      </c>
      <c r="C19" s="1">
        <f t="shared" si="0"/>
        <v>44</v>
      </c>
      <c r="D19" s="1">
        <f>MATCH(Data_Table[[#This Row],[Week]],_xlfn._xlws.SORT(_xlfn.UNIQUE(Data_Table[Week]),1,-1),0)</f>
        <v>4</v>
      </c>
      <c r="E19" s="1" t="str">
        <f>TEXT(Data_Table[[#This Row],[Date of the Ticket for Review]],"mmm")</f>
        <v>Oct</v>
      </c>
      <c r="F19" s="8">
        <v>865520</v>
      </c>
      <c r="G19" s="8" t="str">
        <f>VLOOKUP(F19,Agent_Table[],2,FALSE)</f>
        <v>Bonnie Williams</v>
      </c>
      <c r="H19" s="9" t="str">
        <f>IFERROR(VLOOKUP(Data_Table[[#This Row],[Ticket ID]],Product_Table[],2,FALSE),"")</f>
        <v/>
      </c>
      <c r="I19" s="3" t="s">
        <v>2</v>
      </c>
      <c r="J19" s="8">
        <v>3</v>
      </c>
      <c r="K19" s="8">
        <v>3</v>
      </c>
      <c r="L19" s="8">
        <v>3</v>
      </c>
      <c r="M19" s="8">
        <v>3</v>
      </c>
      <c r="N19" s="8">
        <v>3</v>
      </c>
      <c r="O19" s="8">
        <v>1</v>
      </c>
      <c r="P19" s="8">
        <v>3</v>
      </c>
      <c r="Q19" s="8">
        <v>3</v>
      </c>
      <c r="R19" s="5" t="s">
        <v>5</v>
      </c>
      <c r="S19" s="5" t="str">
        <f>IF(MIN(Data_Table[[#This Row],[Grammar &amp; Syntax ]:[Quality of First Response]])&lt;=1,"Fail",IF(MIN(Data_Table[[#This Row],[Grammar &amp; Syntax ]:[Quality of First Response]])=2,"Neutral","Pass"))</f>
        <v>Fail</v>
      </c>
      <c r="T19" s="5" t="str">
        <f>IF(MIN(Data_Table[[#This Row],[Grammar &amp; Syntax ]:[Quality of First Response]])&lt;=1,"Fail",IF(MIN(Data_Table[[#This Row],[Grammar &amp; Syntax ]:[Quality of First Response]])=2,"Pass","Pass"))</f>
        <v>Fail</v>
      </c>
      <c r="U19" s="5">
        <f>IF(Data_Table[[#This Row],[Compliance Critical PF]]="Fail",1,0)</f>
        <v>1</v>
      </c>
      <c r="V19" s="5"/>
      <c r="W19" s="1" t="s">
        <v>27</v>
      </c>
      <c r="X19" s="1" t="s">
        <v>27</v>
      </c>
      <c r="Y19" s="1" t="s">
        <v>27</v>
      </c>
      <c r="Z19" s="1" t="s">
        <v>27</v>
      </c>
      <c r="AA19" s="1" t="s">
        <v>27</v>
      </c>
      <c r="AB19" s="1" t="s">
        <v>27</v>
      </c>
      <c r="AC19" s="1" t="s">
        <v>27</v>
      </c>
      <c r="AD19" s="1" t="s">
        <v>27</v>
      </c>
      <c r="AE19" s="1" t="s">
        <v>27</v>
      </c>
      <c r="AF19" s="7" t="s">
        <v>27</v>
      </c>
      <c r="AG19" s="7" t="str">
        <f>IF(MIN(Data_Table[[#This Row],[Priority Level]:[Effective escalation ]])&lt;=1,"Fail",IF(MIN(Data_Table[[#This Row],[Priority Level]:[Effective escalation ]])=2,"Neutral","Pass"))</f>
        <v>Fail</v>
      </c>
      <c r="AH19" s="2" t="str">
        <f>IF(MIN(Data_Table[[#This Row],[Priority Level]:[Effective escalation ]])&lt;=1,"Fail",IF(MIN(Data_Table[[#This Row],[Priority Level]:[Effective escalation ]])=2,"Pass","Pass"))</f>
        <v>Fail</v>
      </c>
      <c r="AI19" s="2">
        <f>IF(Data_Table[[#This Row],[Business Critical PF]]="Fail",1,"")</f>
        <v>1</v>
      </c>
      <c r="AJ19" s="5" t="str">
        <f>IF(MIN(Data_Table[[#This Row],[Grammar &amp; Syntax ]:[Quality of First Response]],Data_Table[[#This Row],[Priority Level]:[Effective escalation ]])&lt;=1,"Fail",IF(MIN(Data_Table[[#This Row],[Grammar &amp; Syntax ]:[Quality of First Response]],Data_Table[[#This Row],[Priority Level]:[Effective escalation ]])=2,"Neutral","Pass"))</f>
        <v>Fail</v>
      </c>
      <c r="AK19" s="5" t="str">
        <f>IF(MIN(Data_Table[[#This Row],[Grammar &amp; Syntax ]:[Quality of First Response]],Data_Table[[#This Row],[Priority Level]:[Effective escalation ]])&lt;=1,"Fail",IF(MIN(Data_Table[[#This Row],[Grammar &amp; Syntax ]:[Quality of First Response]],Data_Table[[#This Row],[Priority Level]:[Effective escalation ]])=2,"Pass","Pass"))</f>
        <v>Fail</v>
      </c>
      <c r="AL19" s="5">
        <f>IF(Data_Table[[#This Row],[Attribute Fail Rate PF]]="Fail",1,"")</f>
        <v>1</v>
      </c>
      <c r="AM19" s="5">
        <f>1</f>
        <v>1</v>
      </c>
      <c r="AN19" s="5">
        <f>IF(Data_Table[[#This Row],[Attribute Fail Rate PF]]="Fail",Data_Table[[#This Row],[Ticket ID]],"")</f>
        <v>865520</v>
      </c>
      <c r="AO19" s="5" t="str" cm="1">
        <f t="array" ref="AO19">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Accountability &amp; Ownership</v>
      </c>
    </row>
    <row r="20" spans="1:41" ht="15" customHeight="1" x14ac:dyDescent="0.25">
      <c r="A20" s="10">
        <v>44861</v>
      </c>
      <c r="B20" s="1" t="s">
        <v>6</v>
      </c>
      <c r="C20" s="1">
        <f t="shared" si="0"/>
        <v>44</v>
      </c>
      <c r="D20" s="1">
        <f>MATCH(Data_Table[[#This Row],[Week]],_xlfn._xlws.SORT(_xlfn.UNIQUE(Data_Table[Week]),1,-1),0)</f>
        <v>4</v>
      </c>
      <c r="E20" s="1" t="str">
        <f>TEXT(Data_Table[[#This Row],[Date of the Ticket for Review]],"mmm")</f>
        <v>Oct</v>
      </c>
      <c r="F20" s="8">
        <v>867762</v>
      </c>
      <c r="G20" s="8" t="str">
        <f>VLOOKUP(F20,Agent_Table[],2,FALSE)</f>
        <v>Deniece Inda</v>
      </c>
      <c r="H20" s="9" t="str">
        <f>IFERROR(VLOOKUP(Data_Table[[#This Row],[Ticket ID]],Product_Table[],2,FALSE),"")</f>
        <v/>
      </c>
      <c r="I20" s="3" t="s">
        <v>2</v>
      </c>
      <c r="J20" s="8">
        <v>3</v>
      </c>
      <c r="K20" s="8">
        <v>3</v>
      </c>
      <c r="L20" s="8">
        <v>3</v>
      </c>
      <c r="M20" s="8">
        <v>3</v>
      </c>
      <c r="N20" s="8">
        <v>3</v>
      </c>
      <c r="O20" s="8">
        <v>3</v>
      </c>
      <c r="P20" s="8">
        <v>3</v>
      </c>
      <c r="Q20" s="8">
        <v>3</v>
      </c>
      <c r="R20" s="5" t="s">
        <v>3</v>
      </c>
      <c r="S20" s="5" t="str">
        <f>IF(MIN(Data_Table[[#This Row],[Grammar &amp; Syntax ]:[Quality of First Response]])&lt;=1,"Fail",IF(MIN(Data_Table[[#This Row],[Grammar &amp; Syntax ]:[Quality of First Response]])=2,"Neutral","Pass"))</f>
        <v>Pass</v>
      </c>
      <c r="T20" s="5" t="str">
        <f>IF(MIN(Data_Table[[#This Row],[Grammar &amp; Syntax ]:[Quality of First Response]])&lt;=1,"Fail",IF(MIN(Data_Table[[#This Row],[Grammar &amp; Syntax ]:[Quality of First Response]])=2,"Pass","Pass"))</f>
        <v>Pass</v>
      </c>
      <c r="U20" s="5">
        <f>IF(Data_Table[[#This Row],[Compliance Critical PF]]="Fail",1,0)</f>
        <v>0</v>
      </c>
      <c r="V20" s="5"/>
      <c r="W20" s="8">
        <v>3</v>
      </c>
      <c r="X20" s="8">
        <v>3</v>
      </c>
      <c r="Y20" s="8">
        <v>3</v>
      </c>
      <c r="Z20" s="8">
        <v>2</v>
      </c>
      <c r="AA20" s="8">
        <v>3</v>
      </c>
      <c r="AB20" s="8">
        <v>3</v>
      </c>
      <c r="AC20" s="8">
        <v>3</v>
      </c>
      <c r="AD20" s="8">
        <v>1</v>
      </c>
      <c r="AE20" s="1" t="s">
        <v>12</v>
      </c>
      <c r="AF20" s="7" t="s">
        <v>102</v>
      </c>
      <c r="AG20" s="7" t="str">
        <f>IF(MIN(Data_Table[[#This Row],[Priority Level]:[Effective escalation ]])&lt;=1,"Fail",IF(MIN(Data_Table[[#This Row],[Priority Level]:[Effective escalation ]])=2,"Neutral","Pass"))</f>
        <v>Fail</v>
      </c>
      <c r="AH20" s="2" t="str">
        <f>IF(MIN(Data_Table[[#This Row],[Priority Level]:[Effective escalation ]])&lt;=1,"Fail",IF(MIN(Data_Table[[#This Row],[Priority Level]:[Effective escalation ]])=2,"Pass","Pass"))</f>
        <v>Fail</v>
      </c>
      <c r="AI20" s="2">
        <f>IF(Data_Table[[#This Row],[Business Critical PF]]="Fail",1,"")</f>
        <v>1</v>
      </c>
      <c r="AJ20" s="5" t="str">
        <f>IF(MIN(Data_Table[[#This Row],[Grammar &amp; Syntax ]:[Quality of First Response]],Data_Table[[#This Row],[Priority Level]:[Effective escalation ]])&lt;=1,"Fail",IF(MIN(Data_Table[[#This Row],[Grammar &amp; Syntax ]:[Quality of First Response]],Data_Table[[#This Row],[Priority Level]:[Effective escalation ]])=2,"Neutral","Pass"))</f>
        <v>Fail</v>
      </c>
      <c r="AK20" s="5" t="str">
        <f>IF(MIN(Data_Table[[#This Row],[Grammar &amp; Syntax ]:[Quality of First Response]],Data_Table[[#This Row],[Priority Level]:[Effective escalation ]])&lt;=1,"Fail",IF(MIN(Data_Table[[#This Row],[Grammar &amp; Syntax ]:[Quality of First Response]],Data_Table[[#This Row],[Priority Level]:[Effective escalation ]])=2,"Pass","Pass"))</f>
        <v>Fail</v>
      </c>
      <c r="AL20" s="5">
        <f>IF(Data_Table[[#This Row],[Attribute Fail Rate PF]]="Fail",1,"")</f>
        <v>1</v>
      </c>
      <c r="AM20" s="5">
        <f>1</f>
        <v>1</v>
      </c>
      <c r="AN20" s="5">
        <f>IF(Data_Table[[#This Row],[Attribute Fail Rate PF]]="Fail",Data_Table[[#This Row],[Ticket ID]],"")</f>
        <v>867762</v>
      </c>
      <c r="AO20" s="5" t="str" cm="1">
        <f t="array" ref="AO20">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Resolution time</v>
      </c>
    </row>
    <row r="21" spans="1:41" ht="15" customHeight="1" x14ac:dyDescent="0.25">
      <c r="A21" s="10">
        <v>44890</v>
      </c>
      <c r="B21" s="1" t="s">
        <v>6</v>
      </c>
      <c r="C21" s="1">
        <f t="shared" si="0"/>
        <v>48</v>
      </c>
      <c r="D21" s="1">
        <f>MATCH(Data_Table[[#This Row],[Week]],_xlfn._xlws.SORT(_xlfn.UNIQUE(Data_Table[Week]),1,-1),0)</f>
        <v>1</v>
      </c>
      <c r="E21" s="1" t="str">
        <f>TEXT(Data_Table[[#This Row],[Date of the Ticket for Review]],"mmm")</f>
        <v>Nov</v>
      </c>
      <c r="F21" s="8">
        <v>865176</v>
      </c>
      <c r="G21" s="8" t="str">
        <f>VLOOKUP(F21,Agent_Table[],2,FALSE)</f>
        <v>Deniece Inda</v>
      </c>
      <c r="H21" s="9" t="str">
        <f>IFERROR(VLOOKUP(Data_Table[[#This Row],[Ticket ID]],Product_Table[],2,FALSE),"")</f>
        <v/>
      </c>
      <c r="I21" s="3" t="s">
        <v>2</v>
      </c>
      <c r="J21" s="8">
        <v>3</v>
      </c>
      <c r="K21" s="8">
        <v>3</v>
      </c>
      <c r="L21" s="8">
        <v>3</v>
      </c>
      <c r="M21" s="8">
        <v>3</v>
      </c>
      <c r="N21" s="8">
        <v>3</v>
      </c>
      <c r="O21" s="8">
        <v>3</v>
      </c>
      <c r="P21" s="8">
        <v>3</v>
      </c>
      <c r="Q21" s="8">
        <v>3</v>
      </c>
      <c r="R21" s="5" t="s">
        <v>3</v>
      </c>
      <c r="S21" s="5" t="str">
        <f>IF(MIN(Data_Table[[#This Row],[Grammar &amp; Syntax ]:[Quality of First Response]])&lt;=1,"Fail",IF(MIN(Data_Table[[#This Row],[Grammar &amp; Syntax ]:[Quality of First Response]])=2,"Neutral","Pass"))</f>
        <v>Pass</v>
      </c>
      <c r="T21" s="5" t="str">
        <f>IF(MIN(Data_Table[[#This Row],[Grammar &amp; Syntax ]:[Quality of First Response]])&lt;=1,"Fail",IF(MIN(Data_Table[[#This Row],[Grammar &amp; Syntax ]:[Quality of First Response]])=2,"Pass","Pass"))</f>
        <v>Pass</v>
      </c>
      <c r="U21" s="5">
        <f>IF(Data_Table[[#This Row],[Compliance Critical PF]]="Fail",1,0)</f>
        <v>0</v>
      </c>
      <c r="V21" s="5"/>
      <c r="W21" s="8">
        <v>2</v>
      </c>
      <c r="X21" s="8">
        <v>3</v>
      </c>
      <c r="Y21" s="8">
        <v>3</v>
      </c>
      <c r="Z21" s="8">
        <v>3</v>
      </c>
      <c r="AA21" s="1" t="s">
        <v>12</v>
      </c>
      <c r="AB21" s="8">
        <v>2</v>
      </c>
      <c r="AC21" s="8">
        <v>3</v>
      </c>
      <c r="AD21" s="8">
        <v>3</v>
      </c>
      <c r="AE21" s="1" t="s">
        <v>12</v>
      </c>
      <c r="AF21" s="7" t="s">
        <v>101</v>
      </c>
      <c r="AG21" s="7" t="str">
        <f>IF(MIN(Data_Table[[#This Row],[Priority Level]:[Effective escalation ]])&lt;=1,"Fail",IF(MIN(Data_Table[[#This Row],[Priority Level]:[Effective escalation ]])=2,"Neutral","Pass"))</f>
        <v>Neutral</v>
      </c>
      <c r="AH21" s="2" t="str">
        <f>IF(MIN(Data_Table[[#This Row],[Priority Level]:[Effective escalation ]])&lt;=1,"Fail",IF(MIN(Data_Table[[#This Row],[Priority Level]:[Effective escalation ]])=2,"Pass","Pass"))</f>
        <v>Pass</v>
      </c>
      <c r="AI21" s="2" t="str">
        <f>IF(Data_Table[[#This Row],[Business Critical PF]]="Fail",1,"")</f>
        <v/>
      </c>
      <c r="AJ21" s="5" t="str">
        <f>IF(MIN(Data_Table[[#This Row],[Grammar &amp; Syntax ]:[Quality of First Response]],Data_Table[[#This Row],[Priority Level]:[Effective escalation ]])&lt;=1,"Fail",IF(MIN(Data_Table[[#This Row],[Grammar &amp; Syntax ]:[Quality of First Response]],Data_Table[[#This Row],[Priority Level]:[Effective escalation ]])=2,"Neutral","Pass"))</f>
        <v>Neutral</v>
      </c>
      <c r="AK21"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21" s="5" t="str">
        <f>IF(Data_Table[[#This Row],[Attribute Fail Rate PF]]="Fail",1,"")</f>
        <v/>
      </c>
      <c r="AM21" s="5">
        <f>1</f>
        <v>1</v>
      </c>
      <c r="AN21" s="5" t="str">
        <f>IF(Data_Table[[#This Row],[Attribute Fail Rate PF]]="Fail",Data_Table[[#This Row],[Ticket ID]],"")</f>
        <v/>
      </c>
      <c r="AO21" s="5" t="str" cm="1">
        <f t="array" ref="AO21">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22" spans="1:41" ht="15" customHeight="1" x14ac:dyDescent="0.25">
      <c r="A22" s="10">
        <v>44862</v>
      </c>
      <c r="B22" s="1" t="s">
        <v>6</v>
      </c>
      <c r="C22" s="1">
        <f t="shared" si="0"/>
        <v>44</v>
      </c>
      <c r="D22" s="1">
        <f>MATCH(Data_Table[[#This Row],[Week]],_xlfn._xlws.SORT(_xlfn.UNIQUE(Data_Table[Week]),1,-1),0)</f>
        <v>4</v>
      </c>
      <c r="E22" s="1" t="str">
        <f>TEXT(Data_Table[[#This Row],[Date of the Ticket for Review]],"mmm")</f>
        <v>Oct</v>
      </c>
      <c r="F22" s="8">
        <v>869404</v>
      </c>
      <c r="G22" s="8" t="str">
        <f>VLOOKUP(F22,Agent_Table[],2,FALSE)</f>
        <v>Samantha Rodriguez</v>
      </c>
      <c r="H22" s="9" t="str">
        <f>IFERROR(VLOOKUP(Data_Table[[#This Row],[Ticket ID]],Product_Table[],2,FALSE),"")</f>
        <v/>
      </c>
      <c r="I22" s="3" t="s">
        <v>2</v>
      </c>
      <c r="J22" s="8">
        <v>3</v>
      </c>
      <c r="K22" s="8">
        <v>3</v>
      </c>
      <c r="L22" s="8">
        <v>3</v>
      </c>
      <c r="M22" s="8">
        <v>3</v>
      </c>
      <c r="N22" s="8">
        <v>3</v>
      </c>
      <c r="O22" s="8">
        <v>3</v>
      </c>
      <c r="P22" s="8">
        <v>3</v>
      </c>
      <c r="Q22" s="8">
        <v>3</v>
      </c>
      <c r="R22" s="5" t="s">
        <v>3</v>
      </c>
      <c r="S22" s="5" t="str">
        <f>IF(MIN(Data_Table[[#This Row],[Grammar &amp; Syntax ]:[Quality of First Response]])&lt;=1,"Fail",IF(MIN(Data_Table[[#This Row],[Grammar &amp; Syntax ]:[Quality of First Response]])=2,"Neutral","Pass"))</f>
        <v>Pass</v>
      </c>
      <c r="T22" s="5" t="str">
        <f>IF(MIN(Data_Table[[#This Row],[Grammar &amp; Syntax ]:[Quality of First Response]])&lt;=1,"Fail",IF(MIN(Data_Table[[#This Row],[Grammar &amp; Syntax ]:[Quality of First Response]])=2,"Pass","Pass"))</f>
        <v>Pass</v>
      </c>
      <c r="U22" s="5">
        <f>IF(Data_Table[[#This Row],[Compliance Critical PF]]="Fail",1,0)</f>
        <v>0</v>
      </c>
      <c r="V22" s="5"/>
      <c r="W22" s="8">
        <v>3</v>
      </c>
      <c r="X22" s="8">
        <v>3</v>
      </c>
      <c r="Y22" s="8">
        <v>3</v>
      </c>
      <c r="Z22" s="8">
        <v>3</v>
      </c>
      <c r="AA22" s="1" t="s">
        <v>12</v>
      </c>
      <c r="AB22" s="8">
        <v>3</v>
      </c>
      <c r="AC22" s="8">
        <v>3</v>
      </c>
      <c r="AD22" s="8">
        <v>3</v>
      </c>
      <c r="AE22" s="1" t="s">
        <v>12</v>
      </c>
      <c r="AF22" s="7" t="s">
        <v>100</v>
      </c>
      <c r="AG22" s="7" t="str">
        <f>IF(MIN(Data_Table[[#This Row],[Priority Level]:[Effective escalation ]])&lt;=1,"Fail",IF(MIN(Data_Table[[#This Row],[Priority Level]:[Effective escalation ]])=2,"Neutral","Pass"))</f>
        <v>Pass</v>
      </c>
      <c r="AH22" s="2" t="str">
        <f>IF(MIN(Data_Table[[#This Row],[Priority Level]:[Effective escalation ]])&lt;=1,"Fail",IF(MIN(Data_Table[[#This Row],[Priority Level]:[Effective escalation ]])=2,"Pass","Pass"))</f>
        <v>Pass</v>
      </c>
      <c r="AI22" s="2" t="str">
        <f>IF(Data_Table[[#This Row],[Business Critical PF]]="Fail",1,"")</f>
        <v/>
      </c>
      <c r="AJ22" s="5"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22"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22" s="5" t="str">
        <f>IF(Data_Table[[#This Row],[Attribute Fail Rate PF]]="Fail",1,"")</f>
        <v/>
      </c>
      <c r="AM22" s="5">
        <f>1</f>
        <v>1</v>
      </c>
      <c r="AN22" s="5" t="str">
        <f>IF(Data_Table[[#This Row],[Attribute Fail Rate PF]]="Fail",Data_Table[[#This Row],[Ticket ID]],"")</f>
        <v/>
      </c>
      <c r="AO22" s="5" t="str" cm="1">
        <f t="array" ref="AO22">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23" spans="1:41" ht="15" customHeight="1" x14ac:dyDescent="0.25">
      <c r="A23" s="10">
        <v>44859</v>
      </c>
      <c r="B23" s="1" t="s">
        <v>6</v>
      </c>
      <c r="C23" s="1">
        <f t="shared" si="0"/>
        <v>44</v>
      </c>
      <c r="D23" s="1">
        <f>MATCH(Data_Table[[#This Row],[Week]],_xlfn._xlws.SORT(_xlfn.UNIQUE(Data_Table[Week]),1,-1),0)</f>
        <v>4</v>
      </c>
      <c r="E23" s="1" t="str">
        <f>TEXT(Data_Table[[#This Row],[Date of the Ticket for Review]],"mmm")</f>
        <v>Oct</v>
      </c>
      <c r="F23" s="8">
        <v>863819</v>
      </c>
      <c r="G23" s="8" t="str">
        <f>VLOOKUP(F23,Agent_Table[],2,FALSE)</f>
        <v>Samantha Rodriguez</v>
      </c>
      <c r="H23" s="9" t="str">
        <f>IFERROR(VLOOKUP(Data_Table[[#This Row],[Ticket ID]],Product_Table[],2,FALSE),"")</f>
        <v/>
      </c>
      <c r="I23" s="3" t="s">
        <v>2</v>
      </c>
      <c r="J23" s="8">
        <v>3</v>
      </c>
      <c r="K23" s="8">
        <v>3</v>
      </c>
      <c r="L23" s="8">
        <v>3</v>
      </c>
      <c r="M23" s="8">
        <v>3</v>
      </c>
      <c r="N23" s="8">
        <v>3</v>
      </c>
      <c r="O23" s="8">
        <v>3</v>
      </c>
      <c r="P23" s="8">
        <v>3</v>
      </c>
      <c r="Q23" s="8">
        <v>3</v>
      </c>
      <c r="R23" s="5" t="s">
        <v>3</v>
      </c>
      <c r="S23" s="5" t="str">
        <f>IF(MIN(Data_Table[[#This Row],[Grammar &amp; Syntax ]:[Quality of First Response]])&lt;=1,"Fail",IF(MIN(Data_Table[[#This Row],[Grammar &amp; Syntax ]:[Quality of First Response]])=2,"Neutral","Pass"))</f>
        <v>Pass</v>
      </c>
      <c r="T23" s="5" t="str">
        <f>IF(MIN(Data_Table[[#This Row],[Grammar &amp; Syntax ]:[Quality of First Response]])&lt;=1,"Fail",IF(MIN(Data_Table[[#This Row],[Grammar &amp; Syntax ]:[Quality of First Response]])=2,"Pass","Pass"))</f>
        <v>Pass</v>
      </c>
      <c r="U23" s="5">
        <f>IF(Data_Table[[#This Row],[Compliance Critical PF]]="Fail",1,0)</f>
        <v>0</v>
      </c>
      <c r="V23" s="5"/>
      <c r="W23" s="8">
        <v>3</v>
      </c>
      <c r="X23" s="8">
        <v>3</v>
      </c>
      <c r="Y23" s="8">
        <v>3</v>
      </c>
      <c r="Z23" s="8">
        <v>3</v>
      </c>
      <c r="AA23" s="1" t="s">
        <v>12</v>
      </c>
      <c r="AB23" s="8">
        <v>3</v>
      </c>
      <c r="AC23" s="8">
        <v>3</v>
      </c>
      <c r="AD23" s="8">
        <v>2</v>
      </c>
      <c r="AE23" s="1" t="s">
        <v>12</v>
      </c>
      <c r="AF23" s="7" t="s">
        <v>99</v>
      </c>
      <c r="AG23" s="7" t="str">
        <f>IF(MIN(Data_Table[[#This Row],[Priority Level]:[Effective escalation ]])&lt;=1,"Fail",IF(MIN(Data_Table[[#This Row],[Priority Level]:[Effective escalation ]])=2,"Neutral","Pass"))</f>
        <v>Neutral</v>
      </c>
      <c r="AH23" s="2" t="str">
        <f>IF(MIN(Data_Table[[#This Row],[Priority Level]:[Effective escalation ]])&lt;=1,"Fail",IF(MIN(Data_Table[[#This Row],[Priority Level]:[Effective escalation ]])=2,"Pass","Pass"))</f>
        <v>Pass</v>
      </c>
      <c r="AI23" s="2" t="str">
        <f>IF(Data_Table[[#This Row],[Business Critical PF]]="Fail",1,"")</f>
        <v/>
      </c>
      <c r="AJ23" s="5" t="str">
        <f>IF(MIN(Data_Table[[#This Row],[Grammar &amp; Syntax ]:[Quality of First Response]],Data_Table[[#This Row],[Priority Level]:[Effective escalation ]])&lt;=1,"Fail",IF(MIN(Data_Table[[#This Row],[Grammar &amp; Syntax ]:[Quality of First Response]],Data_Table[[#This Row],[Priority Level]:[Effective escalation ]])=2,"Neutral","Pass"))</f>
        <v>Neutral</v>
      </c>
      <c r="AK23"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23" s="5" t="str">
        <f>IF(Data_Table[[#This Row],[Attribute Fail Rate PF]]="Fail",1,"")</f>
        <v/>
      </c>
      <c r="AM23" s="5">
        <f>1</f>
        <v>1</v>
      </c>
      <c r="AN23" s="5" t="str">
        <f>IF(Data_Table[[#This Row],[Attribute Fail Rate PF]]="Fail",Data_Table[[#This Row],[Ticket ID]],"")</f>
        <v/>
      </c>
      <c r="AO23" s="5" t="str" cm="1">
        <f t="array" ref="AO23">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24" spans="1:41" ht="15" customHeight="1" x14ac:dyDescent="0.25">
      <c r="A24" s="10">
        <v>44860</v>
      </c>
      <c r="B24" s="1" t="s">
        <v>6</v>
      </c>
      <c r="C24" s="1">
        <f t="shared" si="0"/>
        <v>44</v>
      </c>
      <c r="D24" s="1">
        <f>MATCH(Data_Table[[#This Row],[Week]],_xlfn._xlws.SORT(_xlfn.UNIQUE(Data_Table[Week]),1,-1),0)</f>
        <v>4</v>
      </c>
      <c r="E24" s="1" t="str">
        <f>TEXT(Data_Table[[#This Row],[Date of the Ticket for Review]],"mmm")</f>
        <v>Oct</v>
      </c>
      <c r="F24" s="8">
        <v>865887</v>
      </c>
      <c r="G24" s="8" t="str">
        <f>VLOOKUP(F24,Agent_Table[],2,FALSE)</f>
        <v>Carolina Gonzalez</v>
      </c>
      <c r="H24" s="9" t="str">
        <f>IFERROR(VLOOKUP(Data_Table[[#This Row],[Ticket ID]],Product_Table[],2,FALSE),"")</f>
        <v/>
      </c>
      <c r="I24" s="3" t="s">
        <v>2</v>
      </c>
      <c r="J24" s="8">
        <v>3</v>
      </c>
      <c r="K24" s="8">
        <v>3</v>
      </c>
      <c r="L24" s="8">
        <v>3</v>
      </c>
      <c r="M24" s="8">
        <v>3</v>
      </c>
      <c r="N24" s="8">
        <v>3</v>
      </c>
      <c r="O24" s="8">
        <v>3</v>
      </c>
      <c r="P24" s="8">
        <v>3</v>
      </c>
      <c r="Q24" s="8">
        <v>3</v>
      </c>
      <c r="R24" s="5" t="s">
        <v>3</v>
      </c>
      <c r="S24" s="5" t="str">
        <f>IF(MIN(Data_Table[[#This Row],[Grammar &amp; Syntax ]:[Quality of First Response]])&lt;=1,"Fail",IF(MIN(Data_Table[[#This Row],[Grammar &amp; Syntax ]:[Quality of First Response]])=2,"Neutral","Pass"))</f>
        <v>Pass</v>
      </c>
      <c r="T24" s="5" t="str">
        <f>IF(MIN(Data_Table[[#This Row],[Grammar &amp; Syntax ]:[Quality of First Response]])&lt;=1,"Fail",IF(MIN(Data_Table[[#This Row],[Grammar &amp; Syntax ]:[Quality of First Response]])=2,"Pass","Pass"))</f>
        <v>Pass</v>
      </c>
      <c r="U24" s="5">
        <f>IF(Data_Table[[#This Row],[Compliance Critical PF]]="Fail",1,0)</f>
        <v>0</v>
      </c>
      <c r="V24" s="5"/>
      <c r="W24" s="8">
        <v>3</v>
      </c>
      <c r="X24" s="8">
        <v>3</v>
      </c>
      <c r="Y24" s="8">
        <v>3</v>
      </c>
      <c r="Z24" s="8">
        <v>3</v>
      </c>
      <c r="AA24" s="1" t="s">
        <v>12</v>
      </c>
      <c r="AB24" s="8">
        <v>3</v>
      </c>
      <c r="AC24" s="8">
        <v>3</v>
      </c>
      <c r="AD24" s="8">
        <v>3</v>
      </c>
      <c r="AE24" s="1" t="s">
        <v>12</v>
      </c>
      <c r="AF24" s="7" t="s">
        <v>98</v>
      </c>
      <c r="AG24" s="7" t="str">
        <f>IF(MIN(Data_Table[[#This Row],[Priority Level]:[Effective escalation ]])&lt;=1,"Fail",IF(MIN(Data_Table[[#This Row],[Priority Level]:[Effective escalation ]])=2,"Neutral","Pass"))</f>
        <v>Pass</v>
      </c>
      <c r="AH24" s="2" t="str">
        <f>IF(MIN(Data_Table[[#This Row],[Priority Level]:[Effective escalation ]])&lt;=1,"Fail",IF(MIN(Data_Table[[#This Row],[Priority Level]:[Effective escalation ]])=2,"Pass","Pass"))</f>
        <v>Pass</v>
      </c>
      <c r="AI24" s="2" t="str">
        <f>IF(Data_Table[[#This Row],[Business Critical PF]]="Fail",1,"")</f>
        <v/>
      </c>
      <c r="AJ24" s="5"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24"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24" s="5" t="str">
        <f>IF(Data_Table[[#This Row],[Attribute Fail Rate PF]]="Fail",1,"")</f>
        <v/>
      </c>
      <c r="AM24" s="5">
        <f>1</f>
        <v>1</v>
      </c>
      <c r="AN24" s="5" t="str">
        <f>IF(Data_Table[[#This Row],[Attribute Fail Rate PF]]="Fail",Data_Table[[#This Row],[Ticket ID]],"")</f>
        <v/>
      </c>
      <c r="AO24" s="5" t="str" cm="1">
        <f t="array" ref="AO24">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25" spans="1:41" ht="15" customHeight="1" x14ac:dyDescent="0.25">
      <c r="A25" s="10">
        <v>44860</v>
      </c>
      <c r="B25" s="1" t="s">
        <v>6</v>
      </c>
      <c r="C25" s="1">
        <f t="shared" si="0"/>
        <v>44</v>
      </c>
      <c r="D25" s="1">
        <f>MATCH(Data_Table[[#This Row],[Week]],_xlfn._xlws.SORT(_xlfn.UNIQUE(Data_Table[Week]),1,-1),0)</f>
        <v>4</v>
      </c>
      <c r="E25" s="1" t="str">
        <f>TEXT(Data_Table[[#This Row],[Date of the Ticket for Review]],"mmm")</f>
        <v>Oct</v>
      </c>
      <c r="F25" s="8">
        <v>865474</v>
      </c>
      <c r="G25" s="8" t="str">
        <f>VLOOKUP(F25,Agent_Table[],2,FALSE)</f>
        <v>Carolina Gonzalez</v>
      </c>
      <c r="H25" s="9" t="str">
        <f>IFERROR(VLOOKUP(Data_Table[[#This Row],[Ticket ID]],Product_Table[],2,FALSE),"")</f>
        <v/>
      </c>
      <c r="I25" s="3" t="s">
        <v>2</v>
      </c>
      <c r="J25" s="8">
        <v>3</v>
      </c>
      <c r="K25" s="8">
        <v>3</v>
      </c>
      <c r="L25" s="8">
        <v>3</v>
      </c>
      <c r="M25" s="8">
        <v>3</v>
      </c>
      <c r="N25" s="8">
        <v>3</v>
      </c>
      <c r="O25" s="8">
        <v>3</v>
      </c>
      <c r="P25" s="8">
        <v>3</v>
      </c>
      <c r="Q25" s="8">
        <v>3</v>
      </c>
      <c r="R25" s="5" t="s">
        <v>3</v>
      </c>
      <c r="S25" s="5" t="str">
        <f>IF(MIN(Data_Table[[#This Row],[Grammar &amp; Syntax ]:[Quality of First Response]])&lt;=1,"Fail",IF(MIN(Data_Table[[#This Row],[Grammar &amp; Syntax ]:[Quality of First Response]])=2,"Neutral","Pass"))</f>
        <v>Pass</v>
      </c>
      <c r="T25" s="5" t="str">
        <f>IF(MIN(Data_Table[[#This Row],[Grammar &amp; Syntax ]:[Quality of First Response]])&lt;=1,"Fail",IF(MIN(Data_Table[[#This Row],[Grammar &amp; Syntax ]:[Quality of First Response]])=2,"Pass","Pass"))</f>
        <v>Pass</v>
      </c>
      <c r="U25" s="5">
        <f>IF(Data_Table[[#This Row],[Compliance Critical PF]]="Fail",1,0)</f>
        <v>0</v>
      </c>
      <c r="V25" s="5"/>
      <c r="W25" s="8">
        <v>3</v>
      </c>
      <c r="X25" s="8">
        <v>3</v>
      </c>
      <c r="Y25" s="8">
        <v>3</v>
      </c>
      <c r="Z25" s="8">
        <v>3</v>
      </c>
      <c r="AA25" s="1" t="s">
        <v>12</v>
      </c>
      <c r="AB25" s="8">
        <v>3</v>
      </c>
      <c r="AC25" s="8">
        <v>3</v>
      </c>
      <c r="AD25" s="8">
        <v>1</v>
      </c>
      <c r="AE25" s="1" t="s">
        <v>12</v>
      </c>
      <c r="AF25" s="7" t="s">
        <v>97</v>
      </c>
      <c r="AG25" s="7" t="str">
        <f>IF(MIN(Data_Table[[#This Row],[Priority Level]:[Effective escalation ]])&lt;=1,"Fail",IF(MIN(Data_Table[[#This Row],[Priority Level]:[Effective escalation ]])=2,"Neutral","Pass"))</f>
        <v>Fail</v>
      </c>
      <c r="AH25" s="2" t="str">
        <f>IF(MIN(Data_Table[[#This Row],[Priority Level]:[Effective escalation ]])&lt;=1,"Fail",IF(MIN(Data_Table[[#This Row],[Priority Level]:[Effective escalation ]])=2,"Pass","Pass"))</f>
        <v>Fail</v>
      </c>
      <c r="AI25" s="2">
        <f>IF(Data_Table[[#This Row],[Business Critical PF]]="Fail",1,"")</f>
        <v>1</v>
      </c>
      <c r="AJ25" s="5" t="str">
        <f>IF(MIN(Data_Table[[#This Row],[Grammar &amp; Syntax ]:[Quality of First Response]],Data_Table[[#This Row],[Priority Level]:[Effective escalation ]])&lt;=1,"Fail",IF(MIN(Data_Table[[#This Row],[Grammar &amp; Syntax ]:[Quality of First Response]],Data_Table[[#This Row],[Priority Level]:[Effective escalation ]])=2,"Neutral","Pass"))</f>
        <v>Fail</v>
      </c>
      <c r="AK25" s="5" t="str">
        <f>IF(MIN(Data_Table[[#This Row],[Grammar &amp; Syntax ]:[Quality of First Response]],Data_Table[[#This Row],[Priority Level]:[Effective escalation ]])&lt;=1,"Fail",IF(MIN(Data_Table[[#This Row],[Grammar &amp; Syntax ]:[Quality of First Response]],Data_Table[[#This Row],[Priority Level]:[Effective escalation ]])=2,"Pass","Pass"))</f>
        <v>Fail</v>
      </c>
      <c r="AL25" s="5">
        <f>IF(Data_Table[[#This Row],[Attribute Fail Rate PF]]="Fail",1,"")</f>
        <v>1</v>
      </c>
      <c r="AM25" s="5">
        <f>1</f>
        <v>1</v>
      </c>
      <c r="AN25" s="5">
        <f>IF(Data_Table[[#This Row],[Attribute Fail Rate PF]]="Fail",Data_Table[[#This Row],[Ticket ID]],"")</f>
        <v>865474</v>
      </c>
      <c r="AO25" s="5" t="str" cm="1">
        <f t="array" ref="AO25">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Resolution time</v>
      </c>
    </row>
    <row r="26" spans="1:41" ht="15" customHeight="1" x14ac:dyDescent="0.25">
      <c r="A26" s="10">
        <v>44859</v>
      </c>
      <c r="B26" s="1" t="s">
        <v>6</v>
      </c>
      <c r="C26" s="1">
        <f t="shared" si="0"/>
        <v>44</v>
      </c>
      <c r="D26" s="1">
        <f>MATCH(Data_Table[[#This Row],[Week]],_xlfn._xlws.SORT(_xlfn.UNIQUE(Data_Table[Week]),1,-1),0)</f>
        <v>4</v>
      </c>
      <c r="E26" s="1" t="str">
        <f>TEXT(Data_Table[[#This Row],[Date of the Ticket for Review]],"mmm")</f>
        <v>Oct</v>
      </c>
      <c r="F26" s="8">
        <v>865152</v>
      </c>
      <c r="G26" s="8" t="str">
        <f>VLOOKUP(F26,Agent_Table[],2,FALSE)</f>
        <v>Eduardo Villa</v>
      </c>
      <c r="H26" s="9" t="str">
        <f>IFERROR(VLOOKUP(Data_Table[[#This Row],[Ticket ID]],Product_Table[],2,FALSE),"")</f>
        <v/>
      </c>
      <c r="I26" s="3" t="s">
        <v>2</v>
      </c>
      <c r="J26" s="8">
        <v>3</v>
      </c>
      <c r="K26" s="8">
        <v>3</v>
      </c>
      <c r="L26" s="8">
        <v>3</v>
      </c>
      <c r="M26" s="8">
        <v>3</v>
      </c>
      <c r="N26" s="8">
        <v>3</v>
      </c>
      <c r="O26" s="8">
        <v>3</v>
      </c>
      <c r="P26" s="8">
        <v>3</v>
      </c>
      <c r="Q26" s="8">
        <v>3</v>
      </c>
      <c r="R26" s="5" t="s">
        <v>3</v>
      </c>
      <c r="S26" s="5" t="str">
        <f>IF(MIN(Data_Table[[#This Row],[Grammar &amp; Syntax ]:[Quality of First Response]])&lt;=1,"Fail",IF(MIN(Data_Table[[#This Row],[Grammar &amp; Syntax ]:[Quality of First Response]])=2,"Neutral","Pass"))</f>
        <v>Pass</v>
      </c>
      <c r="T26" s="5" t="str">
        <f>IF(MIN(Data_Table[[#This Row],[Grammar &amp; Syntax ]:[Quality of First Response]])&lt;=1,"Fail",IF(MIN(Data_Table[[#This Row],[Grammar &amp; Syntax ]:[Quality of First Response]])=2,"Pass","Pass"))</f>
        <v>Pass</v>
      </c>
      <c r="U26" s="5">
        <f>IF(Data_Table[[#This Row],[Compliance Critical PF]]="Fail",1,0)</f>
        <v>0</v>
      </c>
      <c r="V26" s="5"/>
      <c r="W26" s="8">
        <v>3</v>
      </c>
      <c r="X26" s="8">
        <v>3</v>
      </c>
      <c r="Y26" s="8">
        <v>3</v>
      </c>
      <c r="Z26" s="8">
        <v>3</v>
      </c>
      <c r="AA26" s="1" t="s">
        <v>12</v>
      </c>
      <c r="AB26" s="8">
        <v>3</v>
      </c>
      <c r="AC26" s="8">
        <v>3</v>
      </c>
      <c r="AD26" s="8">
        <v>2</v>
      </c>
      <c r="AE26" s="1" t="s">
        <v>12</v>
      </c>
      <c r="AF26" s="7" t="s">
        <v>96</v>
      </c>
      <c r="AG26" s="7" t="str">
        <f>IF(MIN(Data_Table[[#This Row],[Priority Level]:[Effective escalation ]])&lt;=1,"Fail",IF(MIN(Data_Table[[#This Row],[Priority Level]:[Effective escalation ]])=2,"Neutral","Pass"))</f>
        <v>Neutral</v>
      </c>
      <c r="AH26" s="2" t="str">
        <f>IF(MIN(Data_Table[[#This Row],[Priority Level]:[Effective escalation ]])&lt;=1,"Fail",IF(MIN(Data_Table[[#This Row],[Priority Level]:[Effective escalation ]])=2,"Pass","Pass"))</f>
        <v>Pass</v>
      </c>
      <c r="AI26" s="2" t="str">
        <f>IF(Data_Table[[#This Row],[Business Critical PF]]="Fail",1,"")</f>
        <v/>
      </c>
      <c r="AJ26" s="5" t="str">
        <f>IF(MIN(Data_Table[[#This Row],[Grammar &amp; Syntax ]:[Quality of First Response]],Data_Table[[#This Row],[Priority Level]:[Effective escalation ]])&lt;=1,"Fail",IF(MIN(Data_Table[[#This Row],[Grammar &amp; Syntax ]:[Quality of First Response]],Data_Table[[#This Row],[Priority Level]:[Effective escalation ]])=2,"Neutral","Pass"))</f>
        <v>Neutral</v>
      </c>
      <c r="AK26"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26" s="5" t="str">
        <f>IF(Data_Table[[#This Row],[Attribute Fail Rate PF]]="Fail",1,"")</f>
        <v/>
      </c>
      <c r="AM26" s="5">
        <f>1</f>
        <v>1</v>
      </c>
      <c r="AN26" s="5" t="str">
        <f>IF(Data_Table[[#This Row],[Attribute Fail Rate PF]]="Fail",Data_Table[[#This Row],[Ticket ID]],"")</f>
        <v/>
      </c>
      <c r="AO26" s="5" t="str" cm="1">
        <f t="array" ref="AO26">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27" spans="1:41" ht="15" customHeight="1" x14ac:dyDescent="0.25">
      <c r="A27" s="10">
        <v>44859</v>
      </c>
      <c r="B27" s="1" t="s">
        <v>6</v>
      </c>
      <c r="C27" s="1">
        <f t="shared" si="0"/>
        <v>44</v>
      </c>
      <c r="D27" s="1">
        <f>MATCH(Data_Table[[#This Row],[Week]],_xlfn._xlws.SORT(_xlfn.UNIQUE(Data_Table[Week]),1,-1),0)</f>
        <v>4</v>
      </c>
      <c r="E27" s="1" t="str">
        <f>TEXT(Data_Table[[#This Row],[Date of the Ticket for Review]],"mmm")</f>
        <v>Oct</v>
      </c>
      <c r="F27" s="8">
        <v>863883</v>
      </c>
      <c r="G27" s="8" t="str">
        <f>VLOOKUP(F27,Agent_Table[],2,FALSE)</f>
        <v>Eduardo Villa</v>
      </c>
      <c r="H27" s="9" t="str">
        <f>IFERROR(VLOOKUP(Data_Table[[#This Row],[Ticket ID]],Product_Table[],2,FALSE),"")</f>
        <v/>
      </c>
      <c r="I27" s="3" t="s">
        <v>2</v>
      </c>
      <c r="J27" s="8">
        <v>3</v>
      </c>
      <c r="K27" s="8">
        <v>3</v>
      </c>
      <c r="L27" s="8">
        <v>3</v>
      </c>
      <c r="M27" s="8">
        <v>3</v>
      </c>
      <c r="N27" s="8">
        <v>3</v>
      </c>
      <c r="O27" s="8">
        <v>3</v>
      </c>
      <c r="P27" s="8">
        <v>3</v>
      </c>
      <c r="Q27" s="8">
        <v>3</v>
      </c>
      <c r="R27" s="5" t="s">
        <v>3</v>
      </c>
      <c r="S27" s="5" t="str">
        <f>IF(MIN(Data_Table[[#This Row],[Grammar &amp; Syntax ]:[Quality of First Response]])&lt;=1,"Fail",IF(MIN(Data_Table[[#This Row],[Grammar &amp; Syntax ]:[Quality of First Response]])=2,"Neutral","Pass"))</f>
        <v>Pass</v>
      </c>
      <c r="T27" s="5" t="str">
        <f>IF(MIN(Data_Table[[#This Row],[Grammar &amp; Syntax ]:[Quality of First Response]])&lt;=1,"Fail",IF(MIN(Data_Table[[#This Row],[Grammar &amp; Syntax ]:[Quality of First Response]])=2,"Pass","Pass"))</f>
        <v>Pass</v>
      </c>
      <c r="U27" s="5">
        <f>IF(Data_Table[[#This Row],[Compliance Critical PF]]="Fail",1,0)</f>
        <v>0</v>
      </c>
      <c r="V27" s="5"/>
      <c r="W27" s="8">
        <v>3</v>
      </c>
      <c r="X27" s="8">
        <v>3</v>
      </c>
      <c r="Y27" s="8">
        <v>3</v>
      </c>
      <c r="Z27" s="8">
        <v>3</v>
      </c>
      <c r="AA27" s="1" t="s">
        <v>12</v>
      </c>
      <c r="AB27" s="8">
        <v>3</v>
      </c>
      <c r="AC27" s="8">
        <v>3</v>
      </c>
      <c r="AD27" s="8">
        <v>3</v>
      </c>
      <c r="AE27" s="1" t="s">
        <v>12</v>
      </c>
      <c r="AF27" s="7" t="s">
        <v>95</v>
      </c>
      <c r="AG27" s="7" t="str">
        <f>IF(MIN(Data_Table[[#This Row],[Priority Level]:[Effective escalation ]])&lt;=1,"Fail",IF(MIN(Data_Table[[#This Row],[Priority Level]:[Effective escalation ]])=2,"Neutral","Pass"))</f>
        <v>Pass</v>
      </c>
      <c r="AH27" s="2" t="str">
        <f>IF(MIN(Data_Table[[#This Row],[Priority Level]:[Effective escalation ]])&lt;=1,"Fail",IF(MIN(Data_Table[[#This Row],[Priority Level]:[Effective escalation ]])=2,"Pass","Pass"))</f>
        <v>Pass</v>
      </c>
      <c r="AI27" s="2" t="str">
        <f>IF(Data_Table[[#This Row],[Business Critical PF]]="Fail",1,"")</f>
        <v/>
      </c>
      <c r="AJ27" s="5"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27"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27" s="5" t="str">
        <f>IF(Data_Table[[#This Row],[Attribute Fail Rate PF]]="Fail",1,"")</f>
        <v/>
      </c>
      <c r="AM27" s="5">
        <f>1</f>
        <v>1</v>
      </c>
      <c r="AN27" s="5" t="str">
        <f>IF(Data_Table[[#This Row],[Attribute Fail Rate PF]]="Fail",Data_Table[[#This Row],[Ticket ID]],"")</f>
        <v/>
      </c>
      <c r="AO27" s="5" t="str" cm="1">
        <f t="array" ref="AO27">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28" spans="1:41" ht="15" customHeight="1" x14ac:dyDescent="0.25">
      <c r="A28" s="10">
        <v>44863</v>
      </c>
      <c r="B28" s="1" t="s">
        <v>6</v>
      </c>
      <c r="C28" s="1">
        <f t="shared" si="0"/>
        <v>44</v>
      </c>
      <c r="D28" s="1">
        <f>MATCH(Data_Table[[#This Row],[Week]],_xlfn._xlws.SORT(_xlfn.UNIQUE(Data_Table[Week]),1,-1),0)</f>
        <v>4</v>
      </c>
      <c r="E28" s="1" t="str">
        <f>TEXT(Data_Table[[#This Row],[Date of the Ticket for Review]],"mmm")</f>
        <v>Oct</v>
      </c>
      <c r="F28" s="8">
        <v>871429</v>
      </c>
      <c r="G28" s="8" t="str">
        <f>VLOOKUP(F28,Agent_Table[],2,FALSE)</f>
        <v>Jessica Hernandez</v>
      </c>
      <c r="H28" s="9" t="str">
        <f>IFERROR(VLOOKUP(Data_Table[[#This Row],[Ticket ID]],Product_Table[],2,FALSE),"")</f>
        <v/>
      </c>
      <c r="I28" s="3" t="s">
        <v>2</v>
      </c>
      <c r="J28" s="8">
        <v>3</v>
      </c>
      <c r="K28" s="8">
        <v>3</v>
      </c>
      <c r="L28" s="8">
        <v>3</v>
      </c>
      <c r="M28" s="8">
        <v>3</v>
      </c>
      <c r="N28" s="8">
        <v>3</v>
      </c>
      <c r="O28" s="8">
        <v>3</v>
      </c>
      <c r="P28" s="8">
        <v>3</v>
      </c>
      <c r="Q28" s="8">
        <v>3</v>
      </c>
      <c r="R28" s="5" t="s">
        <v>3</v>
      </c>
      <c r="S28" s="5" t="str">
        <f>IF(MIN(Data_Table[[#This Row],[Grammar &amp; Syntax ]:[Quality of First Response]])&lt;=1,"Fail",IF(MIN(Data_Table[[#This Row],[Grammar &amp; Syntax ]:[Quality of First Response]])=2,"Neutral","Pass"))</f>
        <v>Pass</v>
      </c>
      <c r="T28" s="5" t="str">
        <f>IF(MIN(Data_Table[[#This Row],[Grammar &amp; Syntax ]:[Quality of First Response]])&lt;=1,"Fail",IF(MIN(Data_Table[[#This Row],[Grammar &amp; Syntax ]:[Quality of First Response]])=2,"Pass","Pass"))</f>
        <v>Pass</v>
      </c>
      <c r="U28" s="5">
        <f>IF(Data_Table[[#This Row],[Compliance Critical PF]]="Fail",1,0)</f>
        <v>0</v>
      </c>
      <c r="V28" s="5"/>
      <c r="W28" s="8">
        <v>3</v>
      </c>
      <c r="X28" s="8">
        <v>3</v>
      </c>
      <c r="Y28" s="8">
        <v>3</v>
      </c>
      <c r="Z28" s="8">
        <v>2</v>
      </c>
      <c r="AA28" s="1" t="s">
        <v>12</v>
      </c>
      <c r="AB28" s="1" t="s">
        <v>12</v>
      </c>
      <c r="AC28" s="8">
        <v>3</v>
      </c>
      <c r="AD28" s="8">
        <v>2</v>
      </c>
      <c r="AE28" s="1" t="s">
        <v>12</v>
      </c>
      <c r="AF28" s="7" t="s">
        <v>94</v>
      </c>
      <c r="AG28" s="7" t="str">
        <f>IF(MIN(Data_Table[[#This Row],[Priority Level]:[Effective escalation ]])&lt;=1,"Fail",IF(MIN(Data_Table[[#This Row],[Priority Level]:[Effective escalation ]])=2,"Neutral","Pass"))</f>
        <v>Neutral</v>
      </c>
      <c r="AH28" s="2" t="str">
        <f>IF(MIN(Data_Table[[#This Row],[Priority Level]:[Effective escalation ]])&lt;=1,"Fail",IF(MIN(Data_Table[[#This Row],[Priority Level]:[Effective escalation ]])=2,"Pass","Pass"))</f>
        <v>Pass</v>
      </c>
      <c r="AI28" s="2" t="str">
        <f>IF(Data_Table[[#This Row],[Business Critical PF]]="Fail",1,"")</f>
        <v/>
      </c>
      <c r="AJ28" s="5" t="str">
        <f>IF(MIN(Data_Table[[#This Row],[Grammar &amp; Syntax ]:[Quality of First Response]],Data_Table[[#This Row],[Priority Level]:[Effective escalation ]])&lt;=1,"Fail",IF(MIN(Data_Table[[#This Row],[Grammar &amp; Syntax ]:[Quality of First Response]],Data_Table[[#This Row],[Priority Level]:[Effective escalation ]])=2,"Neutral","Pass"))</f>
        <v>Neutral</v>
      </c>
      <c r="AK28"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28" s="5" t="str">
        <f>IF(Data_Table[[#This Row],[Attribute Fail Rate PF]]="Fail",1,"")</f>
        <v/>
      </c>
      <c r="AM28" s="5">
        <f>1</f>
        <v>1</v>
      </c>
      <c r="AN28" s="5" t="str">
        <f>IF(Data_Table[[#This Row],[Attribute Fail Rate PF]]="Fail",Data_Table[[#This Row],[Ticket ID]],"")</f>
        <v/>
      </c>
      <c r="AO28" s="5" t="str" cm="1">
        <f t="array" ref="AO28">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29" spans="1:41" ht="15" customHeight="1" x14ac:dyDescent="0.25">
      <c r="A29" s="10">
        <v>44861</v>
      </c>
      <c r="B29" s="1" t="s">
        <v>6</v>
      </c>
      <c r="C29" s="1">
        <f t="shared" si="0"/>
        <v>44</v>
      </c>
      <c r="D29" s="1">
        <f>MATCH(Data_Table[[#This Row],[Week]],_xlfn._xlws.SORT(_xlfn.UNIQUE(Data_Table[Week]),1,-1),0)</f>
        <v>4</v>
      </c>
      <c r="E29" s="1" t="str">
        <f>TEXT(Data_Table[[#This Row],[Date of the Ticket for Review]],"mmm")</f>
        <v>Oct</v>
      </c>
      <c r="F29" s="8">
        <v>869288</v>
      </c>
      <c r="G29" s="8" t="str">
        <f>VLOOKUP(F29,Agent_Table[],2,FALSE)</f>
        <v>Jessica Hernandez</v>
      </c>
      <c r="H29" s="8" t="str">
        <f>IFERROR(VLOOKUP(Data_Table[[#This Row],[Ticket ID]],Product_Table[],2,FALSE),"")</f>
        <v/>
      </c>
      <c r="I29" s="3" t="s">
        <v>2</v>
      </c>
      <c r="J29" s="8">
        <v>3</v>
      </c>
      <c r="K29" s="8">
        <v>3</v>
      </c>
      <c r="L29" s="8">
        <v>3</v>
      </c>
      <c r="M29" s="8">
        <v>3</v>
      </c>
      <c r="N29" s="8">
        <v>3</v>
      </c>
      <c r="O29" s="8">
        <v>3</v>
      </c>
      <c r="P29" s="8">
        <v>3</v>
      </c>
      <c r="Q29" s="8">
        <v>3</v>
      </c>
      <c r="R29" s="5" t="s">
        <v>3</v>
      </c>
      <c r="S29" s="5" t="str">
        <f>IF(MIN(Data_Table[[#This Row],[Grammar &amp; Syntax ]:[Quality of First Response]])&lt;=1,"Fail",IF(MIN(Data_Table[[#This Row],[Grammar &amp; Syntax ]:[Quality of First Response]])=2,"Neutral","Pass"))</f>
        <v>Pass</v>
      </c>
      <c r="T29" s="5" t="str">
        <f>IF(MIN(Data_Table[[#This Row],[Grammar &amp; Syntax ]:[Quality of First Response]])&lt;=1,"Fail",IF(MIN(Data_Table[[#This Row],[Grammar &amp; Syntax ]:[Quality of First Response]])=2,"Pass","Pass"))</f>
        <v>Pass</v>
      </c>
      <c r="U29" s="5">
        <f>IF(Data_Table[[#This Row],[Compliance Critical PF]]="Fail",1,0)</f>
        <v>0</v>
      </c>
      <c r="V29" s="5"/>
      <c r="W29" s="8">
        <v>3</v>
      </c>
      <c r="X29" s="8">
        <v>3</v>
      </c>
      <c r="Y29" s="8">
        <v>2</v>
      </c>
      <c r="Z29" s="8">
        <v>3</v>
      </c>
      <c r="AA29" s="1" t="s">
        <v>12</v>
      </c>
      <c r="AB29" s="8">
        <v>3</v>
      </c>
      <c r="AC29" s="8">
        <v>3</v>
      </c>
      <c r="AD29" s="8">
        <v>2</v>
      </c>
      <c r="AE29" s="1" t="s">
        <v>12</v>
      </c>
      <c r="AF29" s="7" t="s">
        <v>93</v>
      </c>
      <c r="AG29" s="7" t="str">
        <f>IF(MIN(Data_Table[[#This Row],[Priority Level]:[Effective escalation ]])&lt;=1,"Fail",IF(MIN(Data_Table[[#This Row],[Priority Level]:[Effective escalation ]])=2,"Neutral","Pass"))</f>
        <v>Neutral</v>
      </c>
      <c r="AH29" s="2" t="str">
        <f>IF(MIN(Data_Table[[#This Row],[Priority Level]:[Effective escalation ]])&lt;=1,"Fail",IF(MIN(Data_Table[[#This Row],[Priority Level]:[Effective escalation ]])=2,"Pass","Pass"))</f>
        <v>Pass</v>
      </c>
      <c r="AI29" s="2" t="str">
        <f>IF(Data_Table[[#This Row],[Business Critical PF]]="Fail",1,"")</f>
        <v/>
      </c>
      <c r="AJ29" s="5" t="str">
        <f>IF(MIN(Data_Table[[#This Row],[Grammar &amp; Syntax ]:[Quality of First Response]],Data_Table[[#This Row],[Priority Level]:[Effective escalation ]])&lt;=1,"Fail",IF(MIN(Data_Table[[#This Row],[Grammar &amp; Syntax ]:[Quality of First Response]],Data_Table[[#This Row],[Priority Level]:[Effective escalation ]])=2,"Neutral","Pass"))</f>
        <v>Neutral</v>
      </c>
      <c r="AK29"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29" s="5" t="str">
        <f>IF(Data_Table[[#This Row],[Attribute Fail Rate PF]]="Fail",1,"")</f>
        <v/>
      </c>
      <c r="AM29" s="5">
        <f>1</f>
        <v>1</v>
      </c>
      <c r="AN29" s="5" t="str">
        <f>IF(Data_Table[[#This Row],[Attribute Fail Rate PF]]="Fail",Data_Table[[#This Row],[Ticket ID]],"")</f>
        <v/>
      </c>
      <c r="AO29" s="5" t="str" cm="1">
        <f t="array" ref="AO29">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30" spans="1:41" ht="15" customHeight="1" x14ac:dyDescent="0.25">
      <c r="A30" s="10">
        <v>44861</v>
      </c>
      <c r="B30" s="1" t="s">
        <v>6</v>
      </c>
      <c r="C30" s="1">
        <f t="shared" si="0"/>
        <v>44</v>
      </c>
      <c r="D30" s="1">
        <f>MATCH(Data_Table[[#This Row],[Week]],_xlfn._xlws.SORT(_xlfn.UNIQUE(Data_Table[Week]),1,-1),0)</f>
        <v>4</v>
      </c>
      <c r="E30" s="1" t="str">
        <f>TEXT(Data_Table[[#This Row],[Date of the Ticket for Review]],"mmm")</f>
        <v>Oct</v>
      </c>
      <c r="F30" s="8">
        <v>867504</v>
      </c>
      <c r="G30" s="8" t="str">
        <f>VLOOKUP(F30,Agent_Table[],2,FALSE)</f>
        <v>Brianna Arrighi</v>
      </c>
      <c r="H30" s="8" t="str">
        <f>IFERROR(VLOOKUP(Data_Table[[#This Row],[Ticket ID]],Product_Table[],2,FALSE),"")</f>
        <v/>
      </c>
      <c r="I30" s="3" t="s">
        <v>2</v>
      </c>
      <c r="J30" s="8">
        <v>3</v>
      </c>
      <c r="K30" s="8">
        <v>3</v>
      </c>
      <c r="L30" s="8">
        <v>3</v>
      </c>
      <c r="M30" s="8">
        <v>3</v>
      </c>
      <c r="N30" s="8">
        <v>3</v>
      </c>
      <c r="O30" s="8">
        <v>3</v>
      </c>
      <c r="P30" s="8">
        <v>3</v>
      </c>
      <c r="Q30" s="8">
        <v>3</v>
      </c>
      <c r="R30" s="5" t="s">
        <v>3</v>
      </c>
      <c r="S30" s="5" t="str">
        <f>IF(MIN(Data_Table[[#This Row],[Grammar &amp; Syntax ]:[Quality of First Response]])&lt;=1,"Fail",IF(MIN(Data_Table[[#This Row],[Grammar &amp; Syntax ]:[Quality of First Response]])=2,"Neutral","Pass"))</f>
        <v>Pass</v>
      </c>
      <c r="T30" s="5" t="str">
        <f>IF(MIN(Data_Table[[#This Row],[Grammar &amp; Syntax ]:[Quality of First Response]])&lt;=1,"Fail",IF(MIN(Data_Table[[#This Row],[Grammar &amp; Syntax ]:[Quality of First Response]])=2,"Pass","Pass"))</f>
        <v>Pass</v>
      </c>
      <c r="U30" s="5">
        <f>IF(Data_Table[[#This Row],[Compliance Critical PF]]="Fail",1,0)</f>
        <v>0</v>
      </c>
      <c r="V30" s="5"/>
      <c r="W30" s="8">
        <v>3</v>
      </c>
      <c r="X30" s="8">
        <v>3</v>
      </c>
      <c r="Y30" s="8">
        <v>3</v>
      </c>
      <c r="Z30" s="8">
        <v>3</v>
      </c>
      <c r="AA30" s="1" t="s">
        <v>12</v>
      </c>
      <c r="AB30" s="8">
        <v>3</v>
      </c>
      <c r="AC30" s="8">
        <v>3</v>
      </c>
      <c r="AD30" s="8">
        <v>2</v>
      </c>
      <c r="AE30" s="1" t="s">
        <v>12</v>
      </c>
      <c r="AF30" s="7" t="s">
        <v>92</v>
      </c>
      <c r="AG30" s="7" t="str">
        <f>IF(MIN(Data_Table[[#This Row],[Priority Level]:[Effective escalation ]])&lt;=1,"Fail",IF(MIN(Data_Table[[#This Row],[Priority Level]:[Effective escalation ]])=2,"Neutral","Pass"))</f>
        <v>Neutral</v>
      </c>
      <c r="AH30" s="2" t="str">
        <f>IF(MIN(Data_Table[[#This Row],[Priority Level]:[Effective escalation ]])&lt;=1,"Fail",IF(MIN(Data_Table[[#This Row],[Priority Level]:[Effective escalation ]])=2,"Pass","Pass"))</f>
        <v>Pass</v>
      </c>
      <c r="AI30" s="2" t="str">
        <f>IF(Data_Table[[#This Row],[Business Critical PF]]="Fail",1,"")</f>
        <v/>
      </c>
      <c r="AJ30" s="5" t="str">
        <f>IF(MIN(Data_Table[[#This Row],[Grammar &amp; Syntax ]:[Quality of First Response]],Data_Table[[#This Row],[Priority Level]:[Effective escalation ]])&lt;=1,"Fail",IF(MIN(Data_Table[[#This Row],[Grammar &amp; Syntax ]:[Quality of First Response]],Data_Table[[#This Row],[Priority Level]:[Effective escalation ]])=2,"Neutral","Pass"))</f>
        <v>Neutral</v>
      </c>
      <c r="AK30"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30" s="5" t="str">
        <f>IF(Data_Table[[#This Row],[Attribute Fail Rate PF]]="Fail",1,"")</f>
        <v/>
      </c>
      <c r="AM30" s="5">
        <f>1</f>
        <v>1</v>
      </c>
      <c r="AN30" s="5" t="str">
        <f>IF(Data_Table[[#This Row],[Attribute Fail Rate PF]]="Fail",Data_Table[[#This Row],[Ticket ID]],"")</f>
        <v/>
      </c>
      <c r="AO30" s="5" t="str" cm="1">
        <f t="array" ref="AO30">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31" spans="1:41" ht="15" customHeight="1" x14ac:dyDescent="0.25">
      <c r="A31" s="10">
        <v>44861</v>
      </c>
      <c r="B31" s="1" t="s">
        <v>6</v>
      </c>
      <c r="C31" s="1">
        <f t="shared" si="0"/>
        <v>44</v>
      </c>
      <c r="D31" s="1">
        <f>MATCH(Data_Table[[#This Row],[Week]],_xlfn._xlws.SORT(_xlfn.UNIQUE(Data_Table[Week]),1,-1),0)</f>
        <v>4</v>
      </c>
      <c r="E31" s="1" t="str">
        <f>TEXT(Data_Table[[#This Row],[Date of the Ticket for Review]],"mmm")</f>
        <v>Oct</v>
      </c>
      <c r="F31" s="8">
        <v>867446</v>
      </c>
      <c r="G31" s="8" t="str">
        <f>VLOOKUP(F31,Agent_Table[],2,FALSE)</f>
        <v>Brianna Arrighi</v>
      </c>
      <c r="H31" s="8" t="str">
        <f>IFERROR(VLOOKUP(Data_Table[[#This Row],[Ticket ID]],Product_Table[],2,FALSE),"")</f>
        <v/>
      </c>
      <c r="I31" s="3" t="s">
        <v>2</v>
      </c>
      <c r="J31" s="8">
        <v>3</v>
      </c>
      <c r="K31" s="8">
        <v>3</v>
      </c>
      <c r="L31" s="8">
        <v>3</v>
      </c>
      <c r="M31" s="8">
        <v>3</v>
      </c>
      <c r="N31" s="8">
        <v>3</v>
      </c>
      <c r="O31" s="8">
        <v>3</v>
      </c>
      <c r="P31" s="8">
        <v>3</v>
      </c>
      <c r="Q31" s="8">
        <v>3</v>
      </c>
      <c r="R31" s="5" t="s">
        <v>3</v>
      </c>
      <c r="S31" s="5" t="str">
        <f>IF(MIN(Data_Table[[#This Row],[Grammar &amp; Syntax ]:[Quality of First Response]])&lt;=1,"Fail",IF(MIN(Data_Table[[#This Row],[Grammar &amp; Syntax ]:[Quality of First Response]])=2,"Neutral","Pass"))</f>
        <v>Pass</v>
      </c>
      <c r="T31" s="5" t="str">
        <f>IF(MIN(Data_Table[[#This Row],[Grammar &amp; Syntax ]:[Quality of First Response]])&lt;=1,"Fail",IF(MIN(Data_Table[[#This Row],[Grammar &amp; Syntax ]:[Quality of First Response]])=2,"Pass","Pass"))</f>
        <v>Pass</v>
      </c>
      <c r="U31" s="5">
        <f>IF(Data_Table[[#This Row],[Compliance Critical PF]]="Fail",1,0)</f>
        <v>0</v>
      </c>
      <c r="V31" s="5"/>
      <c r="W31" s="8">
        <v>3</v>
      </c>
      <c r="X31" s="8">
        <v>3</v>
      </c>
      <c r="Y31" s="8">
        <v>3</v>
      </c>
      <c r="Z31" s="8">
        <v>3</v>
      </c>
      <c r="AA31" s="8">
        <v>3</v>
      </c>
      <c r="AB31" s="8">
        <v>3</v>
      </c>
      <c r="AC31" s="8">
        <v>3</v>
      </c>
      <c r="AD31" s="8">
        <v>3</v>
      </c>
      <c r="AE31" s="8">
        <v>3</v>
      </c>
      <c r="AF31" s="7" t="s">
        <v>91</v>
      </c>
      <c r="AG31" s="7" t="str">
        <f>IF(MIN(Data_Table[[#This Row],[Priority Level]:[Effective escalation ]])&lt;=1,"Fail",IF(MIN(Data_Table[[#This Row],[Priority Level]:[Effective escalation ]])=2,"Neutral","Pass"))</f>
        <v>Pass</v>
      </c>
      <c r="AH31" s="2" t="str">
        <f>IF(MIN(Data_Table[[#This Row],[Priority Level]:[Effective escalation ]])&lt;=1,"Fail",IF(MIN(Data_Table[[#This Row],[Priority Level]:[Effective escalation ]])=2,"Pass","Pass"))</f>
        <v>Pass</v>
      </c>
      <c r="AI31" s="2" t="str">
        <f>IF(Data_Table[[#This Row],[Business Critical PF]]="Fail",1,"")</f>
        <v/>
      </c>
      <c r="AJ31" s="5"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31"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31" s="5" t="str">
        <f>IF(Data_Table[[#This Row],[Attribute Fail Rate PF]]="Fail",1,"")</f>
        <v/>
      </c>
      <c r="AM31" s="5">
        <f>1</f>
        <v>1</v>
      </c>
      <c r="AN31" s="5" t="str">
        <f>IF(Data_Table[[#This Row],[Attribute Fail Rate PF]]="Fail",Data_Table[[#This Row],[Ticket ID]],"")</f>
        <v/>
      </c>
      <c r="AO31" s="5" t="str" cm="1">
        <f t="array" ref="AO31">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32" spans="1:41" ht="15" customHeight="1" x14ac:dyDescent="0.25">
      <c r="A32" s="10">
        <v>44861</v>
      </c>
      <c r="B32" s="1" t="s">
        <v>6</v>
      </c>
      <c r="C32" s="1">
        <f t="shared" si="0"/>
        <v>44</v>
      </c>
      <c r="D32" s="1">
        <f>MATCH(Data_Table[[#This Row],[Week]],_xlfn._xlws.SORT(_xlfn.UNIQUE(Data_Table[Week]),1,-1),0)</f>
        <v>4</v>
      </c>
      <c r="E32" s="1" t="str">
        <f>TEXT(Data_Table[[#This Row],[Date of the Ticket for Review]],"mmm")</f>
        <v>Oct</v>
      </c>
      <c r="F32" s="8">
        <v>867608</v>
      </c>
      <c r="G32" s="8" t="str">
        <f>VLOOKUP(F32,Agent_Table[],2,FALSE)</f>
        <v>Nadia Ahmed</v>
      </c>
      <c r="H32" s="8" t="str">
        <f>IFERROR(VLOOKUP(Data_Table[[#This Row],[Ticket ID]],Product_Table[],2,FALSE),"")</f>
        <v/>
      </c>
      <c r="I32" s="3" t="s">
        <v>2</v>
      </c>
      <c r="J32" s="8">
        <v>3</v>
      </c>
      <c r="K32" s="8">
        <v>3</v>
      </c>
      <c r="L32" s="8">
        <v>3</v>
      </c>
      <c r="M32" s="8">
        <v>3</v>
      </c>
      <c r="N32" s="8">
        <v>3</v>
      </c>
      <c r="O32" s="8">
        <v>3</v>
      </c>
      <c r="P32" s="8">
        <v>3</v>
      </c>
      <c r="Q32" s="8">
        <v>3</v>
      </c>
      <c r="R32" s="5" t="s">
        <v>3</v>
      </c>
      <c r="S32" s="5" t="str">
        <f>IF(MIN(Data_Table[[#This Row],[Grammar &amp; Syntax ]:[Quality of First Response]])&lt;=1,"Fail",IF(MIN(Data_Table[[#This Row],[Grammar &amp; Syntax ]:[Quality of First Response]])=2,"Neutral","Pass"))</f>
        <v>Pass</v>
      </c>
      <c r="T32" s="5" t="str">
        <f>IF(MIN(Data_Table[[#This Row],[Grammar &amp; Syntax ]:[Quality of First Response]])&lt;=1,"Fail",IF(MIN(Data_Table[[#This Row],[Grammar &amp; Syntax ]:[Quality of First Response]])=2,"Pass","Pass"))</f>
        <v>Pass</v>
      </c>
      <c r="U32" s="5">
        <f>IF(Data_Table[[#This Row],[Compliance Critical PF]]="Fail",1,0)</f>
        <v>0</v>
      </c>
      <c r="V32" s="5"/>
      <c r="W32" s="8">
        <v>3</v>
      </c>
      <c r="X32" s="8">
        <v>3</v>
      </c>
      <c r="Y32" s="8">
        <v>3</v>
      </c>
      <c r="Z32" s="8">
        <v>3</v>
      </c>
      <c r="AA32" s="1" t="s">
        <v>12</v>
      </c>
      <c r="AB32" s="8">
        <v>3</v>
      </c>
      <c r="AC32" s="8">
        <v>2</v>
      </c>
      <c r="AD32" s="8">
        <v>2</v>
      </c>
      <c r="AE32" s="1" t="s">
        <v>12</v>
      </c>
      <c r="AF32" s="7" t="s">
        <v>90</v>
      </c>
      <c r="AG32" s="7" t="str">
        <f>IF(MIN(Data_Table[[#This Row],[Priority Level]:[Effective escalation ]])&lt;=1,"Fail",IF(MIN(Data_Table[[#This Row],[Priority Level]:[Effective escalation ]])=2,"Neutral","Pass"))</f>
        <v>Neutral</v>
      </c>
      <c r="AH32" s="2" t="str">
        <f>IF(MIN(Data_Table[[#This Row],[Priority Level]:[Effective escalation ]])&lt;=1,"Fail",IF(MIN(Data_Table[[#This Row],[Priority Level]:[Effective escalation ]])=2,"Pass","Pass"))</f>
        <v>Pass</v>
      </c>
      <c r="AI32" s="2" t="str">
        <f>IF(Data_Table[[#This Row],[Business Critical PF]]="Fail",1,"")</f>
        <v/>
      </c>
      <c r="AJ32" s="5" t="str">
        <f>IF(MIN(Data_Table[[#This Row],[Grammar &amp; Syntax ]:[Quality of First Response]],Data_Table[[#This Row],[Priority Level]:[Effective escalation ]])&lt;=1,"Fail",IF(MIN(Data_Table[[#This Row],[Grammar &amp; Syntax ]:[Quality of First Response]],Data_Table[[#This Row],[Priority Level]:[Effective escalation ]])=2,"Neutral","Pass"))</f>
        <v>Neutral</v>
      </c>
      <c r="AK32"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32" s="5" t="str">
        <f>IF(Data_Table[[#This Row],[Attribute Fail Rate PF]]="Fail",1,"")</f>
        <v/>
      </c>
      <c r="AM32" s="5">
        <f>1</f>
        <v>1</v>
      </c>
      <c r="AN32" s="5" t="str">
        <f>IF(Data_Table[[#This Row],[Attribute Fail Rate PF]]="Fail",Data_Table[[#This Row],[Ticket ID]],"")</f>
        <v/>
      </c>
      <c r="AO32" s="5" t="str" cm="1">
        <f t="array" ref="AO32">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33" spans="1:41" ht="15" customHeight="1" x14ac:dyDescent="0.25">
      <c r="A33" s="10">
        <v>44860</v>
      </c>
      <c r="B33" s="1" t="s">
        <v>6</v>
      </c>
      <c r="C33" s="1">
        <f t="shared" si="0"/>
        <v>44</v>
      </c>
      <c r="D33" s="1">
        <f>MATCH(Data_Table[[#This Row],[Week]],_xlfn._xlws.SORT(_xlfn.UNIQUE(Data_Table[Week]),1,-1),0)</f>
        <v>4</v>
      </c>
      <c r="E33" s="1" t="str">
        <f>TEXT(Data_Table[[#This Row],[Date of the Ticket for Review]],"mmm")</f>
        <v>Oct</v>
      </c>
      <c r="F33" s="8">
        <v>865783</v>
      </c>
      <c r="G33" s="8" t="str">
        <f>VLOOKUP(F33,Agent_Table[],2,FALSE)</f>
        <v>Nadia Ahmed</v>
      </c>
      <c r="H33" s="8" t="str">
        <f>IFERROR(VLOOKUP(Data_Table[[#This Row],[Ticket ID]],Product_Table[],2,FALSE),"")</f>
        <v/>
      </c>
      <c r="I33" s="3" t="s">
        <v>2</v>
      </c>
      <c r="J33" s="8">
        <v>3</v>
      </c>
      <c r="K33" s="8">
        <v>3</v>
      </c>
      <c r="L33" s="8">
        <v>3</v>
      </c>
      <c r="M33" s="8">
        <v>3</v>
      </c>
      <c r="N33" s="8">
        <v>3</v>
      </c>
      <c r="O33" s="8">
        <v>3</v>
      </c>
      <c r="P33" s="8">
        <v>3</v>
      </c>
      <c r="Q33" s="8">
        <v>3</v>
      </c>
      <c r="R33" s="5" t="s">
        <v>3</v>
      </c>
      <c r="S33" s="5" t="str">
        <f>IF(MIN(Data_Table[[#This Row],[Grammar &amp; Syntax ]:[Quality of First Response]])&lt;=1,"Fail",IF(MIN(Data_Table[[#This Row],[Grammar &amp; Syntax ]:[Quality of First Response]])=2,"Neutral","Pass"))</f>
        <v>Pass</v>
      </c>
      <c r="T33" s="5" t="str">
        <f>IF(MIN(Data_Table[[#This Row],[Grammar &amp; Syntax ]:[Quality of First Response]])&lt;=1,"Fail",IF(MIN(Data_Table[[#This Row],[Grammar &amp; Syntax ]:[Quality of First Response]])=2,"Pass","Pass"))</f>
        <v>Pass</v>
      </c>
      <c r="U33" s="5">
        <f>IF(Data_Table[[#This Row],[Compliance Critical PF]]="Fail",1,0)</f>
        <v>0</v>
      </c>
      <c r="V33" s="5"/>
      <c r="W33" s="8">
        <v>3</v>
      </c>
      <c r="X33" s="8">
        <v>3</v>
      </c>
      <c r="Y33" s="8">
        <v>3</v>
      </c>
      <c r="Z33" s="8">
        <v>3</v>
      </c>
      <c r="AA33" s="1" t="s">
        <v>12</v>
      </c>
      <c r="AB33" s="8">
        <v>3</v>
      </c>
      <c r="AC33" s="8">
        <v>3</v>
      </c>
      <c r="AD33" s="8">
        <v>2</v>
      </c>
      <c r="AE33" s="1" t="s">
        <v>12</v>
      </c>
      <c r="AF33" s="7" t="s">
        <v>89</v>
      </c>
      <c r="AG33" s="7" t="str">
        <f>IF(MIN(Data_Table[[#This Row],[Priority Level]:[Effective escalation ]])&lt;=1,"Fail",IF(MIN(Data_Table[[#This Row],[Priority Level]:[Effective escalation ]])=2,"Neutral","Pass"))</f>
        <v>Neutral</v>
      </c>
      <c r="AH33" s="2" t="str">
        <f>IF(MIN(Data_Table[[#This Row],[Priority Level]:[Effective escalation ]])&lt;=1,"Fail",IF(MIN(Data_Table[[#This Row],[Priority Level]:[Effective escalation ]])=2,"Pass","Pass"))</f>
        <v>Pass</v>
      </c>
      <c r="AI33" s="2" t="str">
        <f>IF(Data_Table[[#This Row],[Business Critical PF]]="Fail",1,"")</f>
        <v/>
      </c>
      <c r="AJ33" s="5" t="str">
        <f>IF(MIN(Data_Table[[#This Row],[Grammar &amp; Syntax ]:[Quality of First Response]],Data_Table[[#This Row],[Priority Level]:[Effective escalation ]])&lt;=1,"Fail",IF(MIN(Data_Table[[#This Row],[Grammar &amp; Syntax ]:[Quality of First Response]],Data_Table[[#This Row],[Priority Level]:[Effective escalation ]])=2,"Neutral","Pass"))</f>
        <v>Neutral</v>
      </c>
      <c r="AK33"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33" s="5" t="str">
        <f>IF(Data_Table[[#This Row],[Attribute Fail Rate PF]]="Fail",1,"")</f>
        <v/>
      </c>
      <c r="AM33" s="5">
        <f>1</f>
        <v>1</v>
      </c>
      <c r="AN33" s="5" t="str">
        <f>IF(Data_Table[[#This Row],[Attribute Fail Rate PF]]="Fail",Data_Table[[#This Row],[Ticket ID]],"")</f>
        <v/>
      </c>
      <c r="AO33" s="5" t="str" cm="1">
        <f t="array" ref="AO33">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34" spans="1:41" ht="15" customHeight="1" x14ac:dyDescent="0.25">
      <c r="A34" s="10">
        <v>44860</v>
      </c>
      <c r="B34" s="1" t="s">
        <v>6</v>
      </c>
      <c r="C34" s="1">
        <f t="shared" ref="C34:C65" si="1">WEEKNUM(A34)</f>
        <v>44</v>
      </c>
      <c r="D34" s="1">
        <f>MATCH(Data_Table[[#This Row],[Week]],_xlfn._xlws.SORT(_xlfn.UNIQUE(Data_Table[Week]),1,-1),0)</f>
        <v>4</v>
      </c>
      <c r="E34" s="1" t="str">
        <f>TEXT(Data_Table[[#This Row],[Date of the Ticket for Review]],"mmm")</f>
        <v>Oct</v>
      </c>
      <c r="F34" s="8">
        <v>865467</v>
      </c>
      <c r="G34" s="8" t="e">
        <f>VLOOKUP(F34,Agent_Table[],2,FALSE)</f>
        <v>#N/A</v>
      </c>
      <c r="H34" s="8" t="str">
        <f>IFERROR(VLOOKUP(Data_Table[[#This Row],[Ticket ID]],Product_Table[],2,FALSE),"")</f>
        <v/>
      </c>
      <c r="I34" s="3" t="s">
        <v>2</v>
      </c>
      <c r="J34" s="8">
        <v>3</v>
      </c>
      <c r="K34" s="8">
        <v>3</v>
      </c>
      <c r="L34" s="8">
        <v>3</v>
      </c>
      <c r="M34" s="8">
        <v>3</v>
      </c>
      <c r="N34" s="8">
        <v>3</v>
      </c>
      <c r="O34" s="8">
        <v>3</v>
      </c>
      <c r="P34" s="8">
        <v>3</v>
      </c>
      <c r="Q34" s="8">
        <v>3</v>
      </c>
      <c r="R34" s="5" t="s">
        <v>3</v>
      </c>
      <c r="S34" s="5" t="str">
        <f>IF(MIN(Data_Table[[#This Row],[Grammar &amp; Syntax ]:[Quality of First Response]])&lt;=1,"Fail",IF(MIN(Data_Table[[#This Row],[Grammar &amp; Syntax ]:[Quality of First Response]])=2,"Neutral","Pass"))</f>
        <v>Pass</v>
      </c>
      <c r="T34" s="5" t="str">
        <f>IF(MIN(Data_Table[[#This Row],[Grammar &amp; Syntax ]:[Quality of First Response]])&lt;=1,"Fail",IF(MIN(Data_Table[[#This Row],[Grammar &amp; Syntax ]:[Quality of First Response]])=2,"Pass","Pass"))</f>
        <v>Pass</v>
      </c>
      <c r="U34" s="5">
        <f>IF(Data_Table[[#This Row],[Compliance Critical PF]]="Fail",1,0)</f>
        <v>0</v>
      </c>
      <c r="V34" s="5"/>
      <c r="W34" s="1" t="s">
        <v>27</v>
      </c>
      <c r="X34" s="1" t="s">
        <v>27</v>
      </c>
      <c r="Y34" s="1" t="s">
        <v>27</v>
      </c>
      <c r="Z34" s="1" t="s">
        <v>27</v>
      </c>
      <c r="AA34" s="1" t="s">
        <v>27</v>
      </c>
      <c r="AB34" s="1" t="s">
        <v>27</v>
      </c>
      <c r="AC34" s="1" t="s">
        <v>27</v>
      </c>
      <c r="AD34" s="1" t="s">
        <v>27</v>
      </c>
      <c r="AE34" s="1" t="s">
        <v>27</v>
      </c>
      <c r="AF34" s="7" t="s">
        <v>27</v>
      </c>
      <c r="AG34" s="7" t="str">
        <f>IF(MIN(Data_Table[[#This Row],[Priority Level]:[Effective escalation ]])&lt;=1,"Fail",IF(MIN(Data_Table[[#This Row],[Priority Level]:[Effective escalation ]])=2,"Neutral","Pass"))</f>
        <v>Fail</v>
      </c>
      <c r="AH34" s="2" t="str">
        <f>IF(MIN(Data_Table[[#This Row],[Priority Level]:[Effective escalation ]])&lt;=1,"Fail",IF(MIN(Data_Table[[#This Row],[Priority Level]:[Effective escalation ]])=2,"Pass","Pass"))</f>
        <v>Fail</v>
      </c>
      <c r="AI34" s="2">
        <f>IF(Data_Table[[#This Row],[Business Critical PF]]="Fail",1,"")</f>
        <v>1</v>
      </c>
      <c r="AJ34" s="5"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34"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34" s="5" t="str">
        <f>IF(Data_Table[[#This Row],[Attribute Fail Rate PF]]="Fail",1,"")</f>
        <v/>
      </c>
      <c r="AM34" s="5">
        <f>1</f>
        <v>1</v>
      </c>
      <c r="AN34" s="5" t="str">
        <f>IF(Data_Table[[#This Row],[Attribute Fail Rate PF]]="Fail",Data_Table[[#This Row],[Ticket ID]],"")</f>
        <v/>
      </c>
      <c r="AO34" s="5" t="str" cm="1">
        <f t="array" ref="AO34">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35" spans="1:41" ht="15" customHeight="1" x14ac:dyDescent="0.25">
      <c r="A35" s="10">
        <v>44860</v>
      </c>
      <c r="B35" s="1" t="s">
        <v>6</v>
      </c>
      <c r="C35" s="1">
        <f t="shared" si="1"/>
        <v>44</v>
      </c>
      <c r="D35" s="1">
        <f>MATCH(Data_Table[[#This Row],[Week]],_xlfn._xlws.SORT(_xlfn.UNIQUE(Data_Table[Week]),1,-1),0)</f>
        <v>4</v>
      </c>
      <c r="E35" s="1" t="str">
        <f>TEXT(Data_Table[[#This Row],[Date of the Ticket for Review]],"mmm")</f>
        <v>Oct</v>
      </c>
      <c r="F35" s="8">
        <v>865485</v>
      </c>
      <c r="G35" s="8" t="str">
        <f>VLOOKUP(F35,Agent_Table[],2,FALSE)</f>
        <v>Ray Jones</v>
      </c>
      <c r="H35" s="8" t="str">
        <f>IFERROR(VLOOKUP(Data_Table[[#This Row],[Ticket ID]],Product_Table[],2,FALSE),"")</f>
        <v/>
      </c>
      <c r="I35" s="3" t="s">
        <v>2</v>
      </c>
      <c r="J35" s="8">
        <v>3</v>
      </c>
      <c r="K35" s="8">
        <v>3</v>
      </c>
      <c r="L35" s="8">
        <v>3</v>
      </c>
      <c r="M35" s="8">
        <v>3</v>
      </c>
      <c r="N35" s="8">
        <v>3</v>
      </c>
      <c r="O35" s="8">
        <v>3</v>
      </c>
      <c r="P35" s="8">
        <v>3</v>
      </c>
      <c r="Q35" s="8">
        <v>3</v>
      </c>
      <c r="R35" s="5" t="s">
        <v>3</v>
      </c>
      <c r="S35" s="5" t="str">
        <f>IF(MIN(Data_Table[[#This Row],[Grammar &amp; Syntax ]:[Quality of First Response]])&lt;=1,"Fail",IF(MIN(Data_Table[[#This Row],[Grammar &amp; Syntax ]:[Quality of First Response]])=2,"Neutral","Pass"))</f>
        <v>Pass</v>
      </c>
      <c r="T35" s="5" t="str">
        <f>IF(MIN(Data_Table[[#This Row],[Grammar &amp; Syntax ]:[Quality of First Response]])&lt;=1,"Fail",IF(MIN(Data_Table[[#This Row],[Grammar &amp; Syntax ]:[Quality of First Response]])=2,"Pass","Pass"))</f>
        <v>Pass</v>
      </c>
      <c r="U35" s="5">
        <f>IF(Data_Table[[#This Row],[Compliance Critical PF]]="Fail",1,0)</f>
        <v>0</v>
      </c>
      <c r="V35" s="5"/>
      <c r="W35" s="8">
        <v>3</v>
      </c>
      <c r="X35" s="8">
        <v>3</v>
      </c>
      <c r="Y35" s="8">
        <v>3</v>
      </c>
      <c r="Z35" s="8">
        <v>3</v>
      </c>
      <c r="AA35" s="8">
        <v>3</v>
      </c>
      <c r="AB35" s="8">
        <v>3</v>
      </c>
      <c r="AC35" s="8">
        <v>3</v>
      </c>
      <c r="AD35" s="8">
        <v>3</v>
      </c>
      <c r="AE35" s="1" t="s">
        <v>12</v>
      </c>
      <c r="AF35" s="7" t="s">
        <v>88</v>
      </c>
      <c r="AG35" s="7" t="str">
        <f>IF(MIN(Data_Table[[#This Row],[Priority Level]:[Effective escalation ]])&lt;=1,"Fail",IF(MIN(Data_Table[[#This Row],[Priority Level]:[Effective escalation ]])=2,"Neutral","Pass"))</f>
        <v>Pass</v>
      </c>
      <c r="AH35" s="2" t="str">
        <f>IF(MIN(Data_Table[[#This Row],[Priority Level]:[Effective escalation ]])&lt;=1,"Fail",IF(MIN(Data_Table[[#This Row],[Priority Level]:[Effective escalation ]])=2,"Pass","Pass"))</f>
        <v>Pass</v>
      </c>
      <c r="AI35" s="2" t="str">
        <f>IF(Data_Table[[#This Row],[Business Critical PF]]="Fail",1,"")</f>
        <v/>
      </c>
      <c r="AJ35" s="5"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35"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35" s="5" t="str">
        <f>IF(Data_Table[[#This Row],[Attribute Fail Rate PF]]="Fail",1,"")</f>
        <v/>
      </c>
      <c r="AM35" s="5">
        <f>1</f>
        <v>1</v>
      </c>
      <c r="AN35" s="5" t="str">
        <f>IF(Data_Table[[#This Row],[Attribute Fail Rate PF]]="Fail",Data_Table[[#This Row],[Ticket ID]],"")</f>
        <v/>
      </c>
      <c r="AO35" s="5" t="str" cm="1">
        <f t="array" ref="AO35">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36" spans="1:41" ht="15" customHeight="1" x14ac:dyDescent="0.25">
      <c r="A36" s="10">
        <v>44859</v>
      </c>
      <c r="B36" s="1" t="s">
        <v>6</v>
      </c>
      <c r="C36" s="1">
        <f t="shared" si="1"/>
        <v>44</v>
      </c>
      <c r="D36" s="1">
        <f>MATCH(Data_Table[[#This Row],[Week]],_xlfn._xlws.SORT(_xlfn.UNIQUE(Data_Table[Week]),1,-1),0)</f>
        <v>4</v>
      </c>
      <c r="E36" s="1" t="str">
        <f>TEXT(Data_Table[[#This Row],[Date of the Ticket for Review]],"mmm")</f>
        <v>Oct</v>
      </c>
      <c r="F36" s="8">
        <v>863986</v>
      </c>
      <c r="G36" s="8" t="str">
        <f>VLOOKUP(F36,Agent_Table[],2,FALSE)</f>
        <v>Ray Jones</v>
      </c>
      <c r="H36" s="8" t="str">
        <f>IFERROR(VLOOKUP(Data_Table[[#This Row],[Ticket ID]],Product_Table[],2,FALSE),"")</f>
        <v/>
      </c>
      <c r="I36" s="3" t="s">
        <v>2</v>
      </c>
      <c r="J36" s="8">
        <v>3</v>
      </c>
      <c r="K36" s="8">
        <v>3</v>
      </c>
      <c r="L36" s="8">
        <v>3</v>
      </c>
      <c r="M36" s="8">
        <v>3</v>
      </c>
      <c r="N36" s="8">
        <v>3</v>
      </c>
      <c r="O36" s="8">
        <v>3</v>
      </c>
      <c r="P36" s="8">
        <v>3</v>
      </c>
      <c r="Q36" s="8">
        <v>3</v>
      </c>
      <c r="R36" s="5" t="s">
        <v>3</v>
      </c>
      <c r="S36" s="5" t="str">
        <f>IF(MIN(Data_Table[[#This Row],[Grammar &amp; Syntax ]:[Quality of First Response]])&lt;=1,"Fail",IF(MIN(Data_Table[[#This Row],[Grammar &amp; Syntax ]:[Quality of First Response]])=2,"Neutral","Pass"))</f>
        <v>Pass</v>
      </c>
      <c r="T36" s="5" t="str">
        <f>IF(MIN(Data_Table[[#This Row],[Grammar &amp; Syntax ]:[Quality of First Response]])&lt;=1,"Fail",IF(MIN(Data_Table[[#This Row],[Grammar &amp; Syntax ]:[Quality of First Response]])=2,"Pass","Pass"))</f>
        <v>Pass</v>
      </c>
      <c r="U36" s="5">
        <f>IF(Data_Table[[#This Row],[Compliance Critical PF]]="Fail",1,0)</f>
        <v>0</v>
      </c>
      <c r="V36" s="5"/>
      <c r="W36" s="1" t="s">
        <v>12</v>
      </c>
      <c r="X36" s="8">
        <v>3</v>
      </c>
      <c r="Y36" s="8">
        <v>3</v>
      </c>
      <c r="Z36" s="8">
        <v>2</v>
      </c>
      <c r="AA36" s="1" t="s">
        <v>12</v>
      </c>
      <c r="AB36" s="8">
        <v>3</v>
      </c>
      <c r="AC36" s="8">
        <v>3</v>
      </c>
      <c r="AD36" s="8">
        <v>3</v>
      </c>
      <c r="AE36" s="1" t="s">
        <v>12</v>
      </c>
      <c r="AF36" s="7" t="s">
        <v>87</v>
      </c>
      <c r="AG36" s="7" t="str">
        <f>IF(MIN(Data_Table[[#This Row],[Priority Level]:[Effective escalation ]])&lt;=1,"Fail",IF(MIN(Data_Table[[#This Row],[Priority Level]:[Effective escalation ]])=2,"Neutral","Pass"))</f>
        <v>Neutral</v>
      </c>
      <c r="AH36" s="2" t="str">
        <f>IF(MIN(Data_Table[[#This Row],[Priority Level]:[Effective escalation ]])&lt;=1,"Fail",IF(MIN(Data_Table[[#This Row],[Priority Level]:[Effective escalation ]])=2,"Pass","Pass"))</f>
        <v>Pass</v>
      </c>
      <c r="AI36" s="2" t="str">
        <f>IF(Data_Table[[#This Row],[Business Critical PF]]="Fail",1,"")</f>
        <v/>
      </c>
      <c r="AJ36" s="5" t="str">
        <f>IF(MIN(Data_Table[[#This Row],[Grammar &amp; Syntax ]:[Quality of First Response]],Data_Table[[#This Row],[Priority Level]:[Effective escalation ]])&lt;=1,"Fail",IF(MIN(Data_Table[[#This Row],[Grammar &amp; Syntax ]:[Quality of First Response]],Data_Table[[#This Row],[Priority Level]:[Effective escalation ]])=2,"Neutral","Pass"))</f>
        <v>Neutral</v>
      </c>
      <c r="AK36"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36" s="5" t="str">
        <f>IF(Data_Table[[#This Row],[Attribute Fail Rate PF]]="Fail",1,"")</f>
        <v/>
      </c>
      <c r="AM36" s="5">
        <f>1</f>
        <v>1</v>
      </c>
      <c r="AN36" s="5" t="str">
        <f>IF(Data_Table[[#This Row],[Attribute Fail Rate PF]]="Fail",Data_Table[[#This Row],[Ticket ID]],"")</f>
        <v/>
      </c>
      <c r="AO36" s="5" t="str" cm="1">
        <f t="array" ref="AO36">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37" spans="1:41" ht="15" customHeight="1" x14ac:dyDescent="0.25">
      <c r="A37" s="10">
        <v>44860</v>
      </c>
      <c r="B37" s="1" t="s">
        <v>6</v>
      </c>
      <c r="C37" s="1">
        <f t="shared" si="1"/>
        <v>44</v>
      </c>
      <c r="D37" s="1">
        <f>MATCH(Data_Table[[#This Row],[Week]],_xlfn._xlws.SORT(_xlfn.UNIQUE(Data_Table[Week]),1,-1),0)</f>
        <v>4</v>
      </c>
      <c r="E37" s="1" t="str">
        <f>TEXT(Data_Table[[#This Row],[Date of the Ticket for Review]],"mmm")</f>
        <v>Oct</v>
      </c>
      <c r="F37" s="8">
        <v>865670</v>
      </c>
      <c r="G37" s="8" t="str">
        <f>VLOOKUP(F37,Agent_Table[],2,FALSE)</f>
        <v>Grant Gundersen</v>
      </c>
      <c r="H37" s="8" t="str">
        <f>IFERROR(VLOOKUP(Data_Table[[#This Row],[Ticket ID]],Product_Table[],2,FALSE),"")</f>
        <v/>
      </c>
      <c r="I37" s="3" t="s">
        <v>2</v>
      </c>
      <c r="J37" s="8">
        <v>3</v>
      </c>
      <c r="K37" s="8">
        <v>3</v>
      </c>
      <c r="L37" s="8">
        <v>3</v>
      </c>
      <c r="M37" s="8">
        <v>3</v>
      </c>
      <c r="N37" s="8">
        <v>3</v>
      </c>
      <c r="O37" s="8">
        <v>3</v>
      </c>
      <c r="P37" s="8">
        <v>3</v>
      </c>
      <c r="Q37" s="8">
        <v>3</v>
      </c>
      <c r="R37" s="5" t="s">
        <v>3</v>
      </c>
      <c r="S37" s="5" t="str">
        <f>IF(MIN(Data_Table[[#This Row],[Grammar &amp; Syntax ]:[Quality of First Response]])&lt;=1,"Fail",IF(MIN(Data_Table[[#This Row],[Grammar &amp; Syntax ]:[Quality of First Response]])=2,"Neutral","Pass"))</f>
        <v>Pass</v>
      </c>
      <c r="T37" s="5" t="str">
        <f>IF(MIN(Data_Table[[#This Row],[Grammar &amp; Syntax ]:[Quality of First Response]])&lt;=1,"Fail",IF(MIN(Data_Table[[#This Row],[Grammar &amp; Syntax ]:[Quality of First Response]])=2,"Pass","Pass"))</f>
        <v>Pass</v>
      </c>
      <c r="U37" s="5">
        <f>IF(Data_Table[[#This Row],[Compliance Critical PF]]="Fail",1,0)</f>
        <v>0</v>
      </c>
      <c r="V37" s="5"/>
      <c r="W37" s="8">
        <v>3</v>
      </c>
      <c r="X37" s="8">
        <v>3</v>
      </c>
      <c r="Y37" s="8">
        <v>3</v>
      </c>
      <c r="Z37" s="8">
        <v>3</v>
      </c>
      <c r="AA37" s="1" t="s">
        <v>12</v>
      </c>
      <c r="AB37" s="8">
        <v>3</v>
      </c>
      <c r="AC37" s="8">
        <v>3</v>
      </c>
      <c r="AD37" s="8">
        <v>2</v>
      </c>
      <c r="AE37" s="1" t="s">
        <v>12</v>
      </c>
      <c r="AF37" s="7" t="s">
        <v>86</v>
      </c>
      <c r="AG37" s="7" t="str">
        <f>IF(MIN(Data_Table[[#This Row],[Priority Level]:[Effective escalation ]])&lt;=1,"Fail",IF(MIN(Data_Table[[#This Row],[Priority Level]:[Effective escalation ]])=2,"Neutral","Pass"))</f>
        <v>Neutral</v>
      </c>
      <c r="AH37" s="2" t="str">
        <f>IF(MIN(Data_Table[[#This Row],[Priority Level]:[Effective escalation ]])&lt;=1,"Fail",IF(MIN(Data_Table[[#This Row],[Priority Level]:[Effective escalation ]])=2,"Pass","Pass"))</f>
        <v>Pass</v>
      </c>
      <c r="AI37" s="2" t="str">
        <f>IF(Data_Table[[#This Row],[Business Critical PF]]="Fail",1,"")</f>
        <v/>
      </c>
      <c r="AJ37" s="5" t="str">
        <f>IF(MIN(Data_Table[[#This Row],[Grammar &amp; Syntax ]:[Quality of First Response]],Data_Table[[#This Row],[Priority Level]:[Effective escalation ]])&lt;=1,"Fail",IF(MIN(Data_Table[[#This Row],[Grammar &amp; Syntax ]:[Quality of First Response]],Data_Table[[#This Row],[Priority Level]:[Effective escalation ]])=2,"Neutral","Pass"))</f>
        <v>Neutral</v>
      </c>
      <c r="AK37"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37" s="5" t="str">
        <f>IF(Data_Table[[#This Row],[Attribute Fail Rate PF]]="Fail",1,"")</f>
        <v/>
      </c>
      <c r="AM37" s="5">
        <f>1</f>
        <v>1</v>
      </c>
      <c r="AN37" s="5" t="str">
        <f>IF(Data_Table[[#This Row],[Attribute Fail Rate PF]]="Fail",Data_Table[[#This Row],[Ticket ID]],"")</f>
        <v/>
      </c>
      <c r="AO37" s="5" t="str" cm="1">
        <f t="array" ref="AO37">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38" spans="1:41" ht="15" customHeight="1" x14ac:dyDescent="0.25">
      <c r="A38" s="10">
        <v>44859</v>
      </c>
      <c r="B38" s="1" t="s">
        <v>6</v>
      </c>
      <c r="C38" s="1">
        <f t="shared" si="1"/>
        <v>44</v>
      </c>
      <c r="D38" s="1">
        <f>MATCH(Data_Table[[#This Row],[Week]],_xlfn._xlws.SORT(_xlfn.UNIQUE(Data_Table[Week]),1,-1),0)</f>
        <v>4</v>
      </c>
      <c r="E38" s="1" t="str">
        <f>TEXT(Data_Table[[#This Row],[Date of the Ticket for Review]],"mmm")</f>
        <v>Oct</v>
      </c>
      <c r="F38" s="8">
        <v>863877</v>
      </c>
      <c r="G38" s="8" t="str">
        <f>VLOOKUP(F38,Agent_Table[],2,FALSE)</f>
        <v>Grant Gundersen</v>
      </c>
      <c r="H38" s="8" t="str">
        <f>IFERROR(VLOOKUP(Data_Table[[#This Row],[Ticket ID]],Product_Table[],2,FALSE),"")</f>
        <v/>
      </c>
      <c r="I38" s="3" t="s">
        <v>2</v>
      </c>
      <c r="J38" s="8">
        <v>3</v>
      </c>
      <c r="K38" s="8">
        <v>3</v>
      </c>
      <c r="L38" s="8">
        <v>3</v>
      </c>
      <c r="M38" s="8">
        <v>3</v>
      </c>
      <c r="N38" s="8">
        <v>3</v>
      </c>
      <c r="O38" s="8">
        <v>3</v>
      </c>
      <c r="P38" s="8">
        <v>3</v>
      </c>
      <c r="Q38" s="8">
        <v>3</v>
      </c>
      <c r="R38" s="5" t="s">
        <v>3</v>
      </c>
      <c r="S38" s="5" t="str">
        <f>IF(MIN(Data_Table[[#This Row],[Grammar &amp; Syntax ]:[Quality of First Response]])&lt;=1,"Fail",IF(MIN(Data_Table[[#This Row],[Grammar &amp; Syntax ]:[Quality of First Response]])=2,"Neutral","Pass"))</f>
        <v>Pass</v>
      </c>
      <c r="T38" s="5" t="str">
        <f>IF(MIN(Data_Table[[#This Row],[Grammar &amp; Syntax ]:[Quality of First Response]])&lt;=1,"Fail",IF(MIN(Data_Table[[#This Row],[Grammar &amp; Syntax ]:[Quality of First Response]])=2,"Pass","Pass"))</f>
        <v>Pass</v>
      </c>
      <c r="U38" s="5">
        <f>IF(Data_Table[[#This Row],[Compliance Critical PF]]="Fail",1,0)</f>
        <v>0</v>
      </c>
      <c r="V38" s="5"/>
      <c r="W38" s="8">
        <v>2</v>
      </c>
      <c r="X38" s="8">
        <v>3</v>
      </c>
      <c r="Y38" s="8">
        <v>3</v>
      </c>
      <c r="Z38" s="8">
        <v>3</v>
      </c>
      <c r="AA38" s="1" t="s">
        <v>12</v>
      </c>
      <c r="AB38" s="8">
        <v>3</v>
      </c>
      <c r="AC38" s="8">
        <v>3</v>
      </c>
      <c r="AD38" s="8">
        <v>3</v>
      </c>
      <c r="AE38" s="1" t="s">
        <v>12</v>
      </c>
      <c r="AF38" s="7" t="s">
        <v>85</v>
      </c>
      <c r="AG38" s="7" t="str">
        <f>IF(MIN(Data_Table[[#This Row],[Priority Level]:[Effective escalation ]])&lt;=1,"Fail",IF(MIN(Data_Table[[#This Row],[Priority Level]:[Effective escalation ]])=2,"Neutral","Pass"))</f>
        <v>Neutral</v>
      </c>
      <c r="AH38" s="2" t="str">
        <f>IF(MIN(Data_Table[[#This Row],[Priority Level]:[Effective escalation ]])&lt;=1,"Fail",IF(MIN(Data_Table[[#This Row],[Priority Level]:[Effective escalation ]])=2,"Pass","Pass"))</f>
        <v>Pass</v>
      </c>
      <c r="AI38" s="2" t="str">
        <f>IF(Data_Table[[#This Row],[Business Critical PF]]="Fail",1,"")</f>
        <v/>
      </c>
      <c r="AJ38" s="5" t="str">
        <f>IF(MIN(Data_Table[[#This Row],[Grammar &amp; Syntax ]:[Quality of First Response]],Data_Table[[#This Row],[Priority Level]:[Effective escalation ]])&lt;=1,"Fail",IF(MIN(Data_Table[[#This Row],[Grammar &amp; Syntax ]:[Quality of First Response]],Data_Table[[#This Row],[Priority Level]:[Effective escalation ]])=2,"Neutral","Pass"))</f>
        <v>Neutral</v>
      </c>
      <c r="AK38"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38" s="5" t="str">
        <f>IF(Data_Table[[#This Row],[Attribute Fail Rate PF]]="Fail",1,"")</f>
        <v/>
      </c>
      <c r="AM38" s="5">
        <f>1</f>
        <v>1</v>
      </c>
      <c r="AN38" s="5" t="str">
        <f>IF(Data_Table[[#This Row],[Attribute Fail Rate PF]]="Fail",Data_Table[[#This Row],[Ticket ID]],"")</f>
        <v/>
      </c>
      <c r="AO38" s="5" t="str" cm="1">
        <f t="array" ref="AO38">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39" spans="1:41" ht="15" customHeight="1" x14ac:dyDescent="0.25">
      <c r="A39" s="10">
        <v>44859</v>
      </c>
      <c r="B39" s="1" t="s">
        <v>8</v>
      </c>
      <c r="C39" s="1">
        <f t="shared" si="1"/>
        <v>44</v>
      </c>
      <c r="D39" s="1">
        <f>MATCH(Data_Table[[#This Row],[Week]],_xlfn._xlws.SORT(_xlfn.UNIQUE(Data_Table[Week]),1,-1),0)</f>
        <v>4</v>
      </c>
      <c r="E39" s="1" t="str">
        <f>TEXT(Data_Table[[#This Row],[Date of the Ticket for Review]],"mmm")</f>
        <v>Oct</v>
      </c>
      <c r="F39" s="8">
        <v>864228</v>
      </c>
      <c r="G39" s="8" t="str">
        <f>VLOOKUP(F39,Agent_Table[],2,FALSE)</f>
        <v>Angelina Voon Suk Yung</v>
      </c>
      <c r="H39" s="8" t="str">
        <f>IFERROR(VLOOKUP(Data_Table[[#This Row],[Ticket ID]],Product_Table[],2,FALSE),"")</f>
        <v/>
      </c>
      <c r="I39" s="3" t="s">
        <v>2</v>
      </c>
      <c r="J39" s="8">
        <v>3</v>
      </c>
      <c r="K39" s="8">
        <v>3</v>
      </c>
      <c r="L39" s="8">
        <v>3</v>
      </c>
      <c r="M39" s="8">
        <v>3</v>
      </c>
      <c r="N39" s="8">
        <v>3</v>
      </c>
      <c r="O39" s="8">
        <v>3</v>
      </c>
      <c r="P39" s="8">
        <v>3</v>
      </c>
      <c r="Q39" s="8">
        <v>3</v>
      </c>
      <c r="R39" s="5" t="s">
        <v>9</v>
      </c>
      <c r="S39" s="5" t="str">
        <f>IF(MIN(Data_Table[[#This Row],[Grammar &amp; Syntax ]:[Quality of First Response]])&lt;=1,"Fail",IF(MIN(Data_Table[[#This Row],[Grammar &amp; Syntax ]:[Quality of First Response]])=2,"Neutral","Pass"))</f>
        <v>Pass</v>
      </c>
      <c r="T39" s="5" t="str">
        <f>IF(MIN(Data_Table[[#This Row],[Grammar &amp; Syntax ]:[Quality of First Response]])&lt;=1,"Fail",IF(MIN(Data_Table[[#This Row],[Grammar &amp; Syntax ]:[Quality of First Response]])=2,"Pass","Pass"))</f>
        <v>Pass</v>
      </c>
      <c r="U39" s="5">
        <f>IF(Data_Table[[#This Row],[Compliance Critical PF]]="Fail",1,0)</f>
        <v>0</v>
      </c>
      <c r="V39" s="5"/>
      <c r="W39" s="8">
        <v>3</v>
      </c>
      <c r="X39" s="8">
        <v>3</v>
      </c>
      <c r="Y39" s="8">
        <v>3</v>
      </c>
      <c r="Z39" s="8">
        <v>3</v>
      </c>
      <c r="AA39" s="1" t="s">
        <v>12</v>
      </c>
      <c r="AB39" s="8">
        <v>3</v>
      </c>
      <c r="AC39" s="8">
        <v>3</v>
      </c>
      <c r="AD39" s="8">
        <v>3</v>
      </c>
      <c r="AE39" s="1" t="s">
        <v>12</v>
      </c>
      <c r="AF39" s="7" t="s">
        <v>12</v>
      </c>
      <c r="AG39" s="7" t="str">
        <f>IF(MIN(Data_Table[[#This Row],[Priority Level]:[Effective escalation ]])&lt;=1,"Fail",IF(MIN(Data_Table[[#This Row],[Priority Level]:[Effective escalation ]])=2,"Neutral","Pass"))</f>
        <v>Pass</v>
      </c>
      <c r="AH39" s="2" t="str">
        <f>IF(MIN(Data_Table[[#This Row],[Priority Level]:[Effective escalation ]])&lt;=1,"Fail",IF(MIN(Data_Table[[#This Row],[Priority Level]:[Effective escalation ]])=2,"Pass","Pass"))</f>
        <v>Pass</v>
      </c>
      <c r="AI39" s="2" t="str">
        <f>IF(Data_Table[[#This Row],[Business Critical PF]]="Fail",1,"")</f>
        <v/>
      </c>
      <c r="AJ39" s="5"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39"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39" s="5" t="str">
        <f>IF(Data_Table[[#This Row],[Attribute Fail Rate PF]]="Fail",1,"")</f>
        <v/>
      </c>
      <c r="AM39" s="5">
        <f>1</f>
        <v>1</v>
      </c>
      <c r="AN39" s="5" t="str">
        <f>IF(Data_Table[[#This Row],[Attribute Fail Rate PF]]="Fail",Data_Table[[#This Row],[Ticket ID]],"")</f>
        <v/>
      </c>
      <c r="AO39" s="5" t="str" cm="1">
        <f t="array" ref="AO39">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40" spans="1:41" ht="15" customHeight="1" x14ac:dyDescent="0.25">
      <c r="A40" s="10">
        <v>44859</v>
      </c>
      <c r="B40" s="1" t="s">
        <v>8</v>
      </c>
      <c r="C40" s="1">
        <f t="shared" si="1"/>
        <v>44</v>
      </c>
      <c r="D40" s="1">
        <f>MATCH(Data_Table[[#This Row],[Week]],_xlfn._xlws.SORT(_xlfn.UNIQUE(Data_Table[Week]),1,-1),0)</f>
        <v>4</v>
      </c>
      <c r="E40" s="1" t="str">
        <f>TEXT(Data_Table[[#This Row],[Date of the Ticket for Review]],"mmm")</f>
        <v>Oct</v>
      </c>
      <c r="F40" s="8">
        <v>863776</v>
      </c>
      <c r="G40" s="8" t="str">
        <f>VLOOKUP(F40,Agent_Table[],2,FALSE)</f>
        <v>Angelina Voon Suk Yung</v>
      </c>
      <c r="H40" s="8" t="str">
        <f>IFERROR(VLOOKUP(Data_Table[[#This Row],[Ticket ID]],Product_Table[],2,FALSE),"")</f>
        <v/>
      </c>
      <c r="I40" s="3" t="s">
        <v>2</v>
      </c>
      <c r="J40" s="8">
        <v>3</v>
      </c>
      <c r="K40" s="8">
        <v>3</v>
      </c>
      <c r="L40" s="8">
        <v>3</v>
      </c>
      <c r="M40" s="8">
        <v>3</v>
      </c>
      <c r="N40" s="8">
        <v>3</v>
      </c>
      <c r="O40" s="8">
        <v>3</v>
      </c>
      <c r="P40" s="8">
        <v>3</v>
      </c>
      <c r="Q40" s="8">
        <v>3</v>
      </c>
      <c r="R40" s="5" t="s">
        <v>3</v>
      </c>
      <c r="S40" s="5" t="str">
        <f>IF(MIN(Data_Table[[#This Row],[Grammar &amp; Syntax ]:[Quality of First Response]])&lt;=1,"Fail",IF(MIN(Data_Table[[#This Row],[Grammar &amp; Syntax ]:[Quality of First Response]])=2,"Neutral","Pass"))</f>
        <v>Pass</v>
      </c>
      <c r="T40" s="5" t="str">
        <f>IF(MIN(Data_Table[[#This Row],[Grammar &amp; Syntax ]:[Quality of First Response]])&lt;=1,"Fail",IF(MIN(Data_Table[[#This Row],[Grammar &amp; Syntax ]:[Quality of First Response]])=2,"Pass","Pass"))</f>
        <v>Pass</v>
      </c>
      <c r="U40" s="5">
        <f>IF(Data_Table[[#This Row],[Compliance Critical PF]]="Fail",1,0)</f>
        <v>0</v>
      </c>
      <c r="V40" s="5"/>
      <c r="W40" s="8">
        <v>3</v>
      </c>
      <c r="X40" s="8">
        <v>3</v>
      </c>
      <c r="Y40" s="8">
        <v>3</v>
      </c>
      <c r="Z40" s="8">
        <v>3</v>
      </c>
      <c r="AA40" s="1" t="s">
        <v>12</v>
      </c>
      <c r="AB40" s="8">
        <v>3</v>
      </c>
      <c r="AC40" s="8">
        <v>3</v>
      </c>
      <c r="AD40" s="8">
        <v>2</v>
      </c>
      <c r="AE40" s="1" t="s">
        <v>12</v>
      </c>
      <c r="AF40" s="7" t="s">
        <v>84</v>
      </c>
      <c r="AG40" s="7" t="str">
        <f>IF(MIN(Data_Table[[#This Row],[Priority Level]:[Effective escalation ]])&lt;=1,"Fail",IF(MIN(Data_Table[[#This Row],[Priority Level]:[Effective escalation ]])=2,"Neutral","Pass"))</f>
        <v>Neutral</v>
      </c>
      <c r="AH40" s="2" t="str">
        <f>IF(MIN(Data_Table[[#This Row],[Priority Level]:[Effective escalation ]])&lt;=1,"Fail",IF(MIN(Data_Table[[#This Row],[Priority Level]:[Effective escalation ]])=2,"Pass","Pass"))</f>
        <v>Pass</v>
      </c>
      <c r="AI40" s="2" t="str">
        <f>IF(Data_Table[[#This Row],[Business Critical PF]]="Fail",1,"")</f>
        <v/>
      </c>
      <c r="AJ40" s="5" t="str">
        <f>IF(MIN(Data_Table[[#This Row],[Grammar &amp; Syntax ]:[Quality of First Response]],Data_Table[[#This Row],[Priority Level]:[Effective escalation ]])&lt;=1,"Fail",IF(MIN(Data_Table[[#This Row],[Grammar &amp; Syntax ]:[Quality of First Response]],Data_Table[[#This Row],[Priority Level]:[Effective escalation ]])=2,"Neutral","Pass"))</f>
        <v>Neutral</v>
      </c>
      <c r="AK40"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40" s="5" t="str">
        <f>IF(Data_Table[[#This Row],[Attribute Fail Rate PF]]="Fail",1,"")</f>
        <v/>
      </c>
      <c r="AM40" s="5">
        <f>1</f>
        <v>1</v>
      </c>
      <c r="AN40" s="5" t="str">
        <f>IF(Data_Table[[#This Row],[Attribute Fail Rate PF]]="Fail",Data_Table[[#This Row],[Ticket ID]],"")</f>
        <v/>
      </c>
      <c r="AO40" s="5" t="str" cm="1">
        <f t="array" ref="AO40">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41" spans="1:41" ht="15" customHeight="1" x14ac:dyDescent="0.25">
      <c r="A41" s="10">
        <v>44861</v>
      </c>
      <c r="B41" s="1" t="s">
        <v>8</v>
      </c>
      <c r="C41" s="1">
        <f t="shared" si="1"/>
        <v>44</v>
      </c>
      <c r="D41" s="1">
        <f>MATCH(Data_Table[[#This Row],[Week]],_xlfn._xlws.SORT(_xlfn.UNIQUE(Data_Table[Week]),1,-1),0)</f>
        <v>4</v>
      </c>
      <c r="E41" s="1" t="str">
        <f>TEXT(Data_Table[[#This Row],[Date of the Ticket for Review]],"mmm")</f>
        <v>Oct</v>
      </c>
      <c r="F41" s="8">
        <v>868772</v>
      </c>
      <c r="G41" s="8" t="str">
        <f>VLOOKUP(F41,Agent_Table[],2,FALSE)</f>
        <v>Tran Thi Thao Trinh (Liz)</v>
      </c>
      <c r="H41" s="8" t="str">
        <f>IFERROR(VLOOKUP(Data_Table[[#This Row],[Ticket ID]],Product_Table[],2,FALSE),"")</f>
        <v/>
      </c>
      <c r="I41" s="3" t="s">
        <v>2</v>
      </c>
      <c r="J41" s="8">
        <v>3</v>
      </c>
      <c r="K41" s="8">
        <v>3</v>
      </c>
      <c r="L41" s="8">
        <v>3</v>
      </c>
      <c r="M41" s="8">
        <v>3</v>
      </c>
      <c r="N41" s="8">
        <v>3</v>
      </c>
      <c r="O41" s="8">
        <v>3</v>
      </c>
      <c r="P41" s="8">
        <v>3</v>
      </c>
      <c r="Q41" s="8">
        <v>3</v>
      </c>
      <c r="R41" s="5" t="s">
        <v>3</v>
      </c>
      <c r="S41" s="5" t="str">
        <f>IF(MIN(Data_Table[[#This Row],[Grammar &amp; Syntax ]:[Quality of First Response]])&lt;=1,"Fail",IF(MIN(Data_Table[[#This Row],[Grammar &amp; Syntax ]:[Quality of First Response]])=2,"Neutral","Pass"))</f>
        <v>Pass</v>
      </c>
      <c r="T41" s="5" t="str">
        <f>IF(MIN(Data_Table[[#This Row],[Grammar &amp; Syntax ]:[Quality of First Response]])&lt;=1,"Fail",IF(MIN(Data_Table[[#This Row],[Grammar &amp; Syntax ]:[Quality of First Response]])=2,"Pass","Pass"))</f>
        <v>Pass</v>
      </c>
      <c r="U41" s="5">
        <f>IF(Data_Table[[#This Row],[Compliance Critical PF]]="Fail",1,0)</f>
        <v>0</v>
      </c>
      <c r="V41" s="5"/>
      <c r="W41" s="8">
        <v>3</v>
      </c>
      <c r="X41" s="8">
        <v>3</v>
      </c>
      <c r="Y41" s="8">
        <v>3</v>
      </c>
      <c r="Z41" s="8">
        <v>3</v>
      </c>
      <c r="AA41" s="1" t="s">
        <v>12</v>
      </c>
      <c r="AB41" s="8">
        <v>3</v>
      </c>
      <c r="AC41" s="8">
        <v>3</v>
      </c>
      <c r="AD41" s="8">
        <v>3</v>
      </c>
      <c r="AE41" s="1" t="s">
        <v>12</v>
      </c>
      <c r="AF41" s="7" t="s">
        <v>12</v>
      </c>
      <c r="AG41" s="7" t="str">
        <f>IF(MIN(Data_Table[[#This Row],[Priority Level]:[Effective escalation ]])&lt;=1,"Fail",IF(MIN(Data_Table[[#This Row],[Priority Level]:[Effective escalation ]])=2,"Neutral","Pass"))</f>
        <v>Pass</v>
      </c>
      <c r="AH41" s="2" t="str">
        <f>IF(MIN(Data_Table[[#This Row],[Priority Level]:[Effective escalation ]])&lt;=1,"Fail",IF(MIN(Data_Table[[#This Row],[Priority Level]:[Effective escalation ]])=2,"Pass","Pass"))</f>
        <v>Pass</v>
      </c>
      <c r="AI41" s="2" t="str">
        <f>IF(Data_Table[[#This Row],[Business Critical PF]]="Fail",1,"")</f>
        <v/>
      </c>
      <c r="AJ41" s="5"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41"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41" s="5" t="str">
        <f>IF(Data_Table[[#This Row],[Attribute Fail Rate PF]]="Fail",1,"")</f>
        <v/>
      </c>
      <c r="AM41" s="5">
        <f>1</f>
        <v>1</v>
      </c>
      <c r="AN41" s="5" t="str">
        <f>IF(Data_Table[[#This Row],[Attribute Fail Rate PF]]="Fail",Data_Table[[#This Row],[Ticket ID]],"")</f>
        <v/>
      </c>
      <c r="AO41" s="5" t="str" cm="1">
        <f t="array" ref="AO41">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42" spans="1:41" ht="15" customHeight="1" x14ac:dyDescent="0.25">
      <c r="A42" s="10">
        <v>44861</v>
      </c>
      <c r="B42" s="1" t="s">
        <v>8</v>
      </c>
      <c r="C42" s="1">
        <f t="shared" si="1"/>
        <v>44</v>
      </c>
      <c r="D42" s="1">
        <f>MATCH(Data_Table[[#This Row],[Week]],_xlfn._xlws.SORT(_xlfn.UNIQUE(Data_Table[Week]),1,-1),0)</f>
        <v>4</v>
      </c>
      <c r="E42" s="1" t="str">
        <f>TEXT(Data_Table[[#This Row],[Date of the Ticket for Review]],"mmm")</f>
        <v>Oct</v>
      </c>
      <c r="F42" s="8">
        <v>868755</v>
      </c>
      <c r="G42" s="8" t="str">
        <f>VLOOKUP(F42,Agent_Table[],2,FALSE)</f>
        <v>Tran Thi Thao Trinh (Liz)</v>
      </c>
      <c r="H42" s="8" t="str">
        <f>IFERROR(VLOOKUP(Data_Table[[#This Row],[Ticket ID]],Product_Table[],2,FALSE),"")</f>
        <v/>
      </c>
      <c r="I42" s="3" t="s">
        <v>2</v>
      </c>
      <c r="J42" s="8">
        <v>3</v>
      </c>
      <c r="K42" s="8">
        <v>3</v>
      </c>
      <c r="L42" s="8">
        <v>3</v>
      </c>
      <c r="M42" s="8">
        <v>3</v>
      </c>
      <c r="N42" s="8">
        <v>3</v>
      </c>
      <c r="O42" s="8">
        <v>3</v>
      </c>
      <c r="P42" s="8">
        <v>3</v>
      </c>
      <c r="Q42" s="8">
        <v>3</v>
      </c>
      <c r="R42" s="5" t="s">
        <v>3</v>
      </c>
      <c r="S42" s="5" t="str">
        <f>IF(MIN(Data_Table[[#This Row],[Grammar &amp; Syntax ]:[Quality of First Response]])&lt;=1,"Fail",IF(MIN(Data_Table[[#This Row],[Grammar &amp; Syntax ]:[Quality of First Response]])=2,"Neutral","Pass"))</f>
        <v>Pass</v>
      </c>
      <c r="T42" s="5" t="str">
        <f>IF(MIN(Data_Table[[#This Row],[Grammar &amp; Syntax ]:[Quality of First Response]])&lt;=1,"Fail",IF(MIN(Data_Table[[#This Row],[Grammar &amp; Syntax ]:[Quality of First Response]])=2,"Pass","Pass"))</f>
        <v>Pass</v>
      </c>
      <c r="U42" s="5">
        <f>IF(Data_Table[[#This Row],[Compliance Critical PF]]="Fail",1,0)</f>
        <v>0</v>
      </c>
      <c r="V42" s="5"/>
      <c r="W42" s="8">
        <v>3</v>
      </c>
      <c r="X42" s="8">
        <v>3</v>
      </c>
      <c r="Y42" s="8">
        <v>3</v>
      </c>
      <c r="Z42" s="8">
        <v>3</v>
      </c>
      <c r="AA42" s="1" t="s">
        <v>12</v>
      </c>
      <c r="AB42" s="8">
        <v>2</v>
      </c>
      <c r="AC42" s="8">
        <v>3</v>
      </c>
      <c r="AD42" s="8">
        <v>3</v>
      </c>
      <c r="AE42" s="1" t="s">
        <v>12</v>
      </c>
      <c r="AF42" s="7" t="s">
        <v>83</v>
      </c>
      <c r="AG42" s="7" t="str">
        <f>IF(MIN(Data_Table[[#This Row],[Priority Level]:[Effective escalation ]])&lt;=1,"Fail",IF(MIN(Data_Table[[#This Row],[Priority Level]:[Effective escalation ]])=2,"Neutral","Pass"))</f>
        <v>Neutral</v>
      </c>
      <c r="AH42" s="2" t="str">
        <f>IF(MIN(Data_Table[[#This Row],[Priority Level]:[Effective escalation ]])&lt;=1,"Fail",IF(MIN(Data_Table[[#This Row],[Priority Level]:[Effective escalation ]])=2,"Pass","Pass"))</f>
        <v>Pass</v>
      </c>
      <c r="AI42" s="2" t="str">
        <f>IF(Data_Table[[#This Row],[Business Critical PF]]="Fail",1,"")</f>
        <v/>
      </c>
      <c r="AJ42" s="5" t="str">
        <f>IF(MIN(Data_Table[[#This Row],[Grammar &amp; Syntax ]:[Quality of First Response]],Data_Table[[#This Row],[Priority Level]:[Effective escalation ]])&lt;=1,"Fail",IF(MIN(Data_Table[[#This Row],[Grammar &amp; Syntax ]:[Quality of First Response]],Data_Table[[#This Row],[Priority Level]:[Effective escalation ]])=2,"Neutral","Pass"))</f>
        <v>Neutral</v>
      </c>
      <c r="AK42"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42" s="5" t="str">
        <f>IF(Data_Table[[#This Row],[Attribute Fail Rate PF]]="Fail",1,"")</f>
        <v/>
      </c>
      <c r="AM42" s="5">
        <f>1</f>
        <v>1</v>
      </c>
      <c r="AN42" s="5" t="str">
        <f>IF(Data_Table[[#This Row],[Attribute Fail Rate PF]]="Fail",Data_Table[[#This Row],[Ticket ID]],"")</f>
        <v/>
      </c>
      <c r="AO42" s="5" t="str" cm="1">
        <f t="array" ref="AO42">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43" spans="1:41" ht="15" customHeight="1" x14ac:dyDescent="0.25">
      <c r="A43" s="10">
        <v>44862</v>
      </c>
      <c r="B43" s="1" t="s">
        <v>8</v>
      </c>
      <c r="C43" s="1">
        <f t="shared" si="1"/>
        <v>44</v>
      </c>
      <c r="D43" s="1">
        <f>MATCH(Data_Table[[#This Row],[Week]],_xlfn._xlws.SORT(_xlfn.UNIQUE(Data_Table[Week]),1,-1),0)</f>
        <v>4</v>
      </c>
      <c r="E43" s="1" t="str">
        <f>TEXT(Data_Table[[#This Row],[Date of the Ticket for Review]],"mmm")</f>
        <v>Oct</v>
      </c>
      <c r="F43" s="8">
        <v>869744</v>
      </c>
      <c r="G43" s="8" t="str">
        <f>VLOOKUP(F43,Agent_Table[],2,FALSE)</f>
        <v>Nuraini Hassan</v>
      </c>
      <c r="H43" s="8" t="str">
        <f>IFERROR(VLOOKUP(Data_Table[[#This Row],[Ticket ID]],Product_Table[],2,FALSE),"")</f>
        <v/>
      </c>
      <c r="I43" s="3" t="s">
        <v>7</v>
      </c>
      <c r="J43" s="8">
        <v>3</v>
      </c>
      <c r="K43" s="8">
        <v>3</v>
      </c>
      <c r="L43" s="8">
        <v>3</v>
      </c>
      <c r="M43" s="8">
        <v>3</v>
      </c>
      <c r="N43" s="8">
        <v>3</v>
      </c>
      <c r="O43" s="8">
        <v>1</v>
      </c>
      <c r="P43" s="8">
        <v>3</v>
      </c>
      <c r="Q43" s="8">
        <v>3</v>
      </c>
      <c r="R43" s="5" t="s">
        <v>10</v>
      </c>
      <c r="S43" s="5" t="str">
        <f>IF(MIN(Data_Table[[#This Row],[Grammar &amp; Syntax ]:[Quality of First Response]])&lt;=1,"Fail",IF(MIN(Data_Table[[#This Row],[Grammar &amp; Syntax ]:[Quality of First Response]])=2,"Neutral","Pass"))</f>
        <v>Fail</v>
      </c>
      <c r="T43" s="5" t="str">
        <f>IF(MIN(Data_Table[[#This Row],[Grammar &amp; Syntax ]:[Quality of First Response]])&lt;=1,"Fail",IF(MIN(Data_Table[[#This Row],[Grammar &amp; Syntax ]:[Quality of First Response]])=2,"Pass","Pass"))</f>
        <v>Fail</v>
      </c>
      <c r="U43" s="5">
        <f>IF(Data_Table[[#This Row],[Compliance Critical PF]]="Fail",1,0)</f>
        <v>1</v>
      </c>
      <c r="V43" s="5"/>
      <c r="W43" s="8">
        <v>3</v>
      </c>
      <c r="X43" s="8">
        <v>3</v>
      </c>
      <c r="Y43" s="8">
        <v>3</v>
      </c>
      <c r="Z43" s="8">
        <v>3</v>
      </c>
      <c r="AA43" s="1" t="s">
        <v>12</v>
      </c>
      <c r="AB43" s="8">
        <v>3</v>
      </c>
      <c r="AC43" s="8">
        <v>3</v>
      </c>
      <c r="AD43" s="8">
        <v>3</v>
      </c>
      <c r="AE43" s="1" t="s">
        <v>12</v>
      </c>
      <c r="AF43" s="7" t="s">
        <v>12</v>
      </c>
      <c r="AG43" s="7" t="str">
        <f>IF(MIN(Data_Table[[#This Row],[Priority Level]:[Effective escalation ]])&lt;=1,"Fail",IF(MIN(Data_Table[[#This Row],[Priority Level]:[Effective escalation ]])=2,"Neutral","Pass"))</f>
        <v>Pass</v>
      </c>
      <c r="AH43" s="2" t="str">
        <f>IF(MIN(Data_Table[[#This Row],[Priority Level]:[Effective escalation ]])&lt;=1,"Fail",IF(MIN(Data_Table[[#This Row],[Priority Level]:[Effective escalation ]])=2,"Pass","Pass"))</f>
        <v>Pass</v>
      </c>
      <c r="AI43" s="2" t="str">
        <f>IF(Data_Table[[#This Row],[Business Critical PF]]="Fail",1,"")</f>
        <v/>
      </c>
      <c r="AJ43" s="5" t="str">
        <f>IF(MIN(Data_Table[[#This Row],[Grammar &amp; Syntax ]:[Quality of First Response]],Data_Table[[#This Row],[Priority Level]:[Effective escalation ]])&lt;=1,"Fail",IF(MIN(Data_Table[[#This Row],[Grammar &amp; Syntax ]:[Quality of First Response]],Data_Table[[#This Row],[Priority Level]:[Effective escalation ]])=2,"Neutral","Pass"))</f>
        <v>Fail</v>
      </c>
      <c r="AK43" s="5" t="str">
        <f>IF(MIN(Data_Table[[#This Row],[Grammar &amp; Syntax ]:[Quality of First Response]],Data_Table[[#This Row],[Priority Level]:[Effective escalation ]])&lt;=1,"Fail",IF(MIN(Data_Table[[#This Row],[Grammar &amp; Syntax ]:[Quality of First Response]],Data_Table[[#This Row],[Priority Level]:[Effective escalation ]])=2,"Pass","Pass"))</f>
        <v>Fail</v>
      </c>
      <c r="AL43" s="5">
        <f>IF(Data_Table[[#This Row],[Attribute Fail Rate PF]]="Fail",1,"")</f>
        <v>1</v>
      </c>
      <c r="AM43" s="5">
        <f>1</f>
        <v>1</v>
      </c>
      <c r="AN43" s="5">
        <f>IF(Data_Table[[#This Row],[Attribute Fail Rate PF]]="Fail",Data_Table[[#This Row],[Ticket ID]],"")</f>
        <v>869744</v>
      </c>
      <c r="AO43" s="5" t="str" cm="1">
        <f t="array" ref="AO43">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Accountability &amp; Ownership</v>
      </c>
    </row>
    <row r="44" spans="1:41" ht="15" customHeight="1" x14ac:dyDescent="0.25">
      <c r="A44" s="10">
        <v>44859</v>
      </c>
      <c r="B44" s="1" t="s">
        <v>8</v>
      </c>
      <c r="C44" s="1">
        <f t="shared" si="1"/>
        <v>44</v>
      </c>
      <c r="D44" s="1">
        <f>MATCH(Data_Table[[#This Row],[Week]],_xlfn._xlws.SORT(_xlfn.UNIQUE(Data_Table[Week]),1,-1),0)</f>
        <v>4</v>
      </c>
      <c r="E44" s="1" t="str">
        <f>TEXT(Data_Table[[#This Row],[Date of the Ticket for Review]],"mmm")</f>
        <v>Oct</v>
      </c>
      <c r="F44" s="8">
        <v>864678</v>
      </c>
      <c r="G44" s="8" t="str">
        <f>VLOOKUP(F44,Agent_Table[],2,FALSE)</f>
        <v>Nuraini Hassan</v>
      </c>
      <c r="H44" s="8" t="str">
        <f>IFERROR(VLOOKUP(Data_Table[[#This Row],[Ticket ID]],Product_Table[],2,FALSE),"")</f>
        <v/>
      </c>
      <c r="I44" s="3" t="s">
        <v>2</v>
      </c>
      <c r="J44" s="8">
        <v>3</v>
      </c>
      <c r="K44" s="8">
        <v>3</v>
      </c>
      <c r="L44" s="8">
        <v>3</v>
      </c>
      <c r="M44" s="8">
        <v>3</v>
      </c>
      <c r="N44" s="8">
        <v>3</v>
      </c>
      <c r="O44" s="8">
        <v>3</v>
      </c>
      <c r="P44" s="8">
        <v>3</v>
      </c>
      <c r="Q44" s="8">
        <v>3</v>
      </c>
      <c r="R44" s="5" t="s">
        <v>3</v>
      </c>
      <c r="S44" s="5" t="str">
        <f>IF(MIN(Data_Table[[#This Row],[Grammar &amp; Syntax ]:[Quality of First Response]])&lt;=1,"Fail",IF(MIN(Data_Table[[#This Row],[Grammar &amp; Syntax ]:[Quality of First Response]])=2,"Neutral","Pass"))</f>
        <v>Pass</v>
      </c>
      <c r="T44" s="5" t="str">
        <f>IF(MIN(Data_Table[[#This Row],[Grammar &amp; Syntax ]:[Quality of First Response]])&lt;=1,"Fail",IF(MIN(Data_Table[[#This Row],[Grammar &amp; Syntax ]:[Quality of First Response]])=2,"Pass","Pass"))</f>
        <v>Pass</v>
      </c>
      <c r="U44" s="5">
        <f>IF(Data_Table[[#This Row],[Compliance Critical PF]]="Fail",1,0)</f>
        <v>0</v>
      </c>
      <c r="V44" s="5"/>
      <c r="W44" s="8">
        <v>3</v>
      </c>
      <c r="X44" s="8">
        <v>3</v>
      </c>
      <c r="Y44" s="8">
        <v>3</v>
      </c>
      <c r="Z44" s="8">
        <v>3</v>
      </c>
      <c r="AA44" s="1" t="s">
        <v>12</v>
      </c>
      <c r="AB44" s="8">
        <v>3</v>
      </c>
      <c r="AC44" s="8">
        <v>3</v>
      </c>
      <c r="AD44" s="8">
        <v>3</v>
      </c>
      <c r="AE44" s="1" t="s">
        <v>12</v>
      </c>
      <c r="AF44" s="7" t="s">
        <v>12</v>
      </c>
      <c r="AG44" s="7" t="str">
        <f>IF(MIN(Data_Table[[#This Row],[Priority Level]:[Effective escalation ]])&lt;=1,"Fail",IF(MIN(Data_Table[[#This Row],[Priority Level]:[Effective escalation ]])=2,"Neutral","Pass"))</f>
        <v>Pass</v>
      </c>
      <c r="AH44" s="2" t="str">
        <f>IF(MIN(Data_Table[[#This Row],[Priority Level]:[Effective escalation ]])&lt;=1,"Fail",IF(MIN(Data_Table[[#This Row],[Priority Level]:[Effective escalation ]])=2,"Pass","Pass"))</f>
        <v>Pass</v>
      </c>
      <c r="AI44" s="2" t="str">
        <f>IF(Data_Table[[#This Row],[Business Critical PF]]="Fail",1,"")</f>
        <v/>
      </c>
      <c r="AJ44" s="5"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44"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44" s="5" t="str">
        <f>IF(Data_Table[[#This Row],[Attribute Fail Rate PF]]="Fail",1,"")</f>
        <v/>
      </c>
      <c r="AM44" s="5">
        <f>1</f>
        <v>1</v>
      </c>
      <c r="AN44" s="5" t="str">
        <f>IF(Data_Table[[#This Row],[Attribute Fail Rate PF]]="Fail",Data_Table[[#This Row],[Ticket ID]],"")</f>
        <v/>
      </c>
      <c r="AO44" s="5" t="str" cm="1">
        <f t="array" ref="AO44">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45" spans="1:41" ht="15" customHeight="1" x14ac:dyDescent="0.25">
      <c r="A45" s="10">
        <v>44859</v>
      </c>
      <c r="B45" s="1" t="s">
        <v>8</v>
      </c>
      <c r="C45" s="1">
        <f t="shared" si="1"/>
        <v>44</v>
      </c>
      <c r="D45" s="1">
        <f>MATCH(Data_Table[[#This Row],[Week]],_xlfn._xlws.SORT(_xlfn.UNIQUE(Data_Table[Week]),1,-1),0)</f>
        <v>4</v>
      </c>
      <c r="E45" s="1" t="str">
        <f>TEXT(Data_Table[[#This Row],[Date of the Ticket for Review]],"mmm")</f>
        <v>Oct</v>
      </c>
      <c r="F45" s="8">
        <v>864322</v>
      </c>
      <c r="G45" s="8" t="str">
        <f>VLOOKUP(F45,Agent_Table[],2,FALSE)</f>
        <v xml:space="preserve">Jiao Ni (Annie)
</v>
      </c>
      <c r="H45" s="8" t="str">
        <f>IFERROR(VLOOKUP(Data_Table[[#This Row],[Ticket ID]],Product_Table[],2,FALSE),"")</f>
        <v/>
      </c>
      <c r="I45" s="3" t="s">
        <v>7</v>
      </c>
      <c r="J45" s="8">
        <v>3</v>
      </c>
      <c r="K45" s="8">
        <v>3</v>
      </c>
      <c r="L45" s="8">
        <v>3</v>
      </c>
      <c r="M45" s="8">
        <v>3</v>
      </c>
      <c r="N45" s="8">
        <v>3</v>
      </c>
      <c r="O45" s="8">
        <v>1</v>
      </c>
      <c r="P45" s="8">
        <v>3</v>
      </c>
      <c r="Q45" s="8">
        <v>3</v>
      </c>
      <c r="R45" s="5" t="s">
        <v>11</v>
      </c>
      <c r="S45" s="5" t="str">
        <f>IF(MIN(Data_Table[[#This Row],[Grammar &amp; Syntax ]:[Quality of First Response]])&lt;=1,"Fail",IF(MIN(Data_Table[[#This Row],[Grammar &amp; Syntax ]:[Quality of First Response]])=2,"Neutral","Pass"))</f>
        <v>Fail</v>
      </c>
      <c r="T45" s="5" t="str">
        <f>IF(MIN(Data_Table[[#This Row],[Grammar &amp; Syntax ]:[Quality of First Response]])&lt;=1,"Fail",IF(MIN(Data_Table[[#This Row],[Grammar &amp; Syntax ]:[Quality of First Response]])=2,"Pass","Pass"))</f>
        <v>Fail</v>
      </c>
      <c r="U45" s="5">
        <f>IF(Data_Table[[#This Row],[Compliance Critical PF]]="Fail",1,0)</f>
        <v>1</v>
      </c>
      <c r="V45" s="5"/>
      <c r="W45" s="8">
        <v>3</v>
      </c>
      <c r="X45" s="8">
        <v>3</v>
      </c>
      <c r="Y45" s="8">
        <v>3</v>
      </c>
      <c r="Z45" s="8">
        <v>3</v>
      </c>
      <c r="AA45" s="1" t="s">
        <v>12</v>
      </c>
      <c r="AB45" s="8">
        <v>2</v>
      </c>
      <c r="AC45" s="1" t="s">
        <v>12</v>
      </c>
      <c r="AD45" s="8">
        <v>2</v>
      </c>
      <c r="AE45" s="1" t="s">
        <v>12</v>
      </c>
      <c r="AF45" s="7" t="s">
        <v>82</v>
      </c>
      <c r="AG45" s="7" t="str">
        <f>IF(MIN(Data_Table[[#This Row],[Priority Level]:[Effective escalation ]])&lt;=1,"Fail",IF(MIN(Data_Table[[#This Row],[Priority Level]:[Effective escalation ]])=2,"Neutral","Pass"))</f>
        <v>Neutral</v>
      </c>
      <c r="AH45" s="2" t="str">
        <f>IF(MIN(Data_Table[[#This Row],[Priority Level]:[Effective escalation ]])&lt;=1,"Fail",IF(MIN(Data_Table[[#This Row],[Priority Level]:[Effective escalation ]])=2,"Pass","Pass"))</f>
        <v>Pass</v>
      </c>
      <c r="AI45" s="2" t="str">
        <f>IF(Data_Table[[#This Row],[Business Critical PF]]="Fail",1,"")</f>
        <v/>
      </c>
      <c r="AJ45" s="5" t="str">
        <f>IF(MIN(Data_Table[[#This Row],[Grammar &amp; Syntax ]:[Quality of First Response]],Data_Table[[#This Row],[Priority Level]:[Effective escalation ]])&lt;=1,"Fail",IF(MIN(Data_Table[[#This Row],[Grammar &amp; Syntax ]:[Quality of First Response]],Data_Table[[#This Row],[Priority Level]:[Effective escalation ]])=2,"Neutral","Pass"))</f>
        <v>Fail</v>
      </c>
      <c r="AK45" s="5" t="str">
        <f>IF(MIN(Data_Table[[#This Row],[Grammar &amp; Syntax ]:[Quality of First Response]],Data_Table[[#This Row],[Priority Level]:[Effective escalation ]])&lt;=1,"Fail",IF(MIN(Data_Table[[#This Row],[Grammar &amp; Syntax ]:[Quality of First Response]],Data_Table[[#This Row],[Priority Level]:[Effective escalation ]])=2,"Pass","Pass"))</f>
        <v>Fail</v>
      </c>
      <c r="AL45" s="5">
        <f>IF(Data_Table[[#This Row],[Attribute Fail Rate PF]]="Fail",1,"")</f>
        <v>1</v>
      </c>
      <c r="AM45" s="5">
        <f>1</f>
        <v>1</v>
      </c>
      <c r="AN45" s="5">
        <f>IF(Data_Table[[#This Row],[Attribute Fail Rate PF]]="Fail",Data_Table[[#This Row],[Ticket ID]],"")</f>
        <v>864322</v>
      </c>
      <c r="AO45" s="5" t="str" cm="1">
        <f t="array" ref="AO45">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Accountability &amp; Ownership</v>
      </c>
    </row>
    <row r="46" spans="1:41" ht="15" customHeight="1" x14ac:dyDescent="0.25">
      <c r="A46" s="10">
        <v>44859</v>
      </c>
      <c r="B46" s="1" t="s">
        <v>8</v>
      </c>
      <c r="C46" s="1">
        <f t="shared" si="1"/>
        <v>44</v>
      </c>
      <c r="D46" s="1">
        <f>MATCH(Data_Table[[#This Row],[Week]],_xlfn._xlws.SORT(_xlfn.UNIQUE(Data_Table[Week]),1,-1),0)</f>
        <v>4</v>
      </c>
      <c r="E46" s="1" t="str">
        <f>TEXT(Data_Table[[#This Row],[Date of the Ticket for Review]],"mmm")</f>
        <v>Oct</v>
      </c>
      <c r="F46" s="8">
        <v>863990</v>
      </c>
      <c r="G46" s="8" t="str">
        <f>VLOOKUP(F46,Agent_Table[],2,FALSE)</f>
        <v xml:space="preserve">Jiao Ni (Annie)
</v>
      </c>
      <c r="H46" s="8" t="str">
        <f>IFERROR(VLOOKUP(Data_Table[[#This Row],[Ticket ID]],Product_Table[],2,FALSE),"")</f>
        <v/>
      </c>
      <c r="I46" s="3" t="s">
        <v>2</v>
      </c>
      <c r="J46" s="8">
        <v>3</v>
      </c>
      <c r="K46" s="8">
        <v>3</v>
      </c>
      <c r="L46" s="8">
        <v>3</v>
      </c>
      <c r="M46" s="8">
        <v>3</v>
      </c>
      <c r="N46" s="8">
        <v>3</v>
      </c>
      <c r="O46" s="8">
        <v>3</v>
      </c>
      <c r="P46" s="8">
        <v>3</v>
      </c>
      <c r="Q46" s="8">
        <v>3</v>
      </c>
      <c r="R46" s="5" t="s">
        <v>3</v>
      </c>
      <c r="S46" s="5" t="str">
        <f>IF(MIN(Data_Table[[#This Row],[Grammar &amp; Syntax ]:[Quality of First Response]])&lt;=1,"Fail",IF(MIN(Data_Table[[#This Row],[Grammar &amp; Syntax ]:[Quality of First Response]])=2,"Neutral","Pass"))</f>
        <v>Pass</v>
      </c>
      <c r="T46" s="5" t="str">
        <f>IF(MIN(Data_Table[[#This Row],[Grammar &amp; Syntax ]:[Quality of First Response]])&lt;=1,"Fail",IF(MIN(Data_Table[[#This Row],[Grammar &amp; Syntax ]:[Quality of First Response]])=2,"Pass","Pass"))</f>
        <v>Pass</v>
      </c>
      <c r="U46" s="5">
        <f>IF(Data_Table[[#This Row],[Compliance Critical PF]]="Fail",1,0)</f>
        <v>0</v>
      </c>
      <c r="V46" s="5"/>
      <c r="W46" s="8">
        <v>3</v>
      </c>
      <c r="X46" s="8">
        <v>3</v>
      </c>
      <c r="Y46" s="8">
        <v>3</v>
      </c>
      <c r="Z46" s="8">
        <v>3</v>
      </c>
      <c r="AA46" s="1" t="s">
        <v>12</v>
      </c>
      <c r="AB46" s="8">
        <v>3</v>
      </c>
      <c r="AC46" s="8">
        <v>3</v>
      </c>
      <c r="AD46" s="8">
        <v>3</v>
      </c>
      <c r="AE46" s="1" t="s">
        <v>12</v>
      </c>
      <c r="AF46" s="7" t="s">
        <v>12</v>
      </c>
      <c r="AG46" s="7" t="str">
        <f>IF(MIN(Data_Table[[#This Row],[Priority Level]:[Effective escalation ]])&lt;=1,"Fail",IF(MIN(Data_Table[[#This Row],[Priority Level]:[Effective escalation ]])=2,"Neutral","Pass"))</f>
        <v>Pass</v>
      </c>
      <c r="AH46" s="2" t="str">
        <f>IF(MIN(Data_Table[[#This Row],[Priority Level]:[Effective escalation ]])&lt;=1,"Fail",IF(MIN(Data_Table[[#This Row],[Priority Level]:[Effective escalation ]])=2,"Pass","Pass"))</f>
        <v>Pass</v>
      </c>
      <c r="AI46" s="2" t="str">
        <f>IF(Data_Table[[#This Row],[Business Critical PF]]="Fail",1,"")</f>
        <v/>
      </c>
      <c r="AJ46" s="5"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46"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46" s="5" t="str">
        <f>IF(Data_Table[[#This Row],[Attribute Fail Rate PF]]="Fail",1,"")</f>
        <v/>
      </c>
      <c r="AM46" s="5">
        <f>1</f>
        <v>1</v>
      </c>
      <c r="AN46" s="5" t="str">
        <f>IF(Data_Table[[#This Row],[Attribute Fail Rate PF]]="Fail",Data_Table[[#This Row],[Ticket ID]],"")</f>
        <v/>
      </c>
      <c r="AO46" s="5" t="str" cm="1">
        <f t="array" ref="AO46">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47" spans="1:41" ht="15" customHeight="1" x14ac:dyDescent="0.25">
      <c r="A47" s="10">
        <v>44860</v>
      </c>
      <c r="B47" s="1" t="s">
        <v>1</v>
      </c>
      <c r="C47" s="1">
        <f t="shared" si="1"/>
        <v>44</v>
      </c>
      <c r="D47" s="1">
        <f>MATCH(Data_Table[[#This Row],[Week]],_xlfn._xlws.SORT(_xlfn.UNIQUE(Data_Table[Week]),1,-1),0)</f>
        <v>4</v>
      </c>
      <c r="E47" s="1" t="str">
        <f>TEXT(Data_Table[[#This Row],[Date of the Ticket for Review]],"mmm")</f>
        <v>Oct</v>
      </c>
      <c r="F47" s="8">
        <v>867026</v>
      </c>
      <c r="G47" s="8" t="str">
        <f>VLOOKUP(F47,Agent_Table[],2,FALSE)</f>
        <v>Prakash Reddy</v>
      </c>
      <c r="H47" s="8" t="str">
        <f>IFERROR(VLOOKUP(Data_Table[[#This Row],[Ticket ID]],Product_Table[],2,FALSE),"")</f>
        <v/>
      </c>
      <c r="I47" s="3" t="s">
        <v>2</v>
      </c>
      <c r="J47" s="8">
        <v>3</v>
      </c>
      <c r="K47" s="8">
        <v>3</v>
      </c>
      <c r="L47" s="8">
        <v>3</v>
      </c>
      <c r="M47" s="8">
        <v>3</v>
      </c>
      <c r="N47" s="8">
        <v>3</v>
      </c>
      <c r="O47" s="8">
        <v>3</v>
      </c>
      <c r="P47" s="8">
        <v>3</v>
      </c>
      <c r="Q47" s="8">
        <v>3</v>
      </c>
      <c r="R47" s="5" t="s">
        <v>3</v>
      </c>
      <c r="S47" s="5" t="str">
        <f>IF(MIN(Data_Table[[#This Row],[Grammar &amp; Syntax ]:[Quality of First Response]])&lt;=1,"Fail",IF(MIN(Data_Table[[#This Row],[Grammar &amp; Syntax ]:[Quality of First Response]])=2,"Neutral","Pass"))</f>
        <v>Pass</v>
      </c>
      <c r="T47" s="5" t="str">
        <f>IF(MIN(Data_Table[[#This Row],[Grammar &amp; Syntax ]:[Quality of First Response]])&lt;=1,"Fail",IF(MIN(Data_Table[[#This Row],[Grammar &amp; Syntax ]:[Quality of First Response]])=2,"Pass","Pass"))</f>
        <v>Pass</v>
      </c>
      <c r="U47" s="5">
        <f>IF(Data_Table[[#This Row],[Compliance Critical PF]]="Fail",1,0)</f>
        <v>0</v>
      </c>
      <c r="V47" s="5"/>
      <c r="W47" s="8">
        <v>3</v>
      </c>
      <c r="X47" s="8">
        <v>3</v>
      </c>
      <c r="Y47" s="8">
        <v>3</v>
      </c>
      <c r="Z47" s="8">
        <v>3</v>
      </c>
      <c r="AA47" s="1" t="s">
        <v>12</v>
      </c>
      <c r="AB47" s="8">
        <v>3</v>
      </c>
      <c r="AC47" s="8">
        <v>3</v>
      </c>
      <c r="AD47" s="8">
        <v>3</v>
      </c>
      <c r="AE47" s="1" t="s">
        <v>12</v>
      </c>
      <c r="AF47" s="7" t="s">
        <v>12</v>
      </c>
      <c r="AG47" s="7" t="str">
        <f>IF(MIN(Data_Table[[#This Row],[Priority Level]:[Effective escalation ]])&lt;=1,"Fail",IF(MIN(Data_Table[[#This Row],[Priority Level]:[Effective escalation ]])=2,"Neutral","Pass"))</f>
        <v>Pass</v>
      </c>
      <c r="AH47" s="2" t="str">
        <f>IF(MIN(Data_Table[[#This Row],[Priority Level]:[Effective escalation ]])&lt;=1,"Fail",IF(MIN(Data_Table[[#This Row],[Priority Level]:[Effective escalation ]])=2,"Pass","Pass"))</f>
        <v>Pass</v>
      </c>
      <c r="AI47" s="2" t="str">
        <f>IF(Data_Table[[#This Row],[Business Critical PF]]="Fail",1,"")</f>
        <v/>
      </c>
      <c r="AJ47" s="5"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47"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47" s="5" t="str">
        <f>IF(Data_Table[[#This Row],[Attribute Fail Rate PF]]="Fail",1,"")</f>
        <v/>
      </c>
      <c r="AM47" s="5">
        <f>1</f>
        <v>1</v>
      </c>
      <c r="AN47" s="5" t="str">
        <f>IF(Data_Table[[#This Row],[Attribute Fail Rate PF]]="Fail",Data_Table[[#This Row],[Ticket ID]],"")</f>
        <v/>
      </c>
      <c r="AO47" s="5" t="str" cm="1">
        <f t="array" ref="AO47">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48" spans="1:41" ht="15" customHeight="1" x14ac:dyDescent="0.25">
      <c r="A48" s="10">
        <v>44858</v>
      </c>
      <c r="B48" s="1" t="s">
        <v>1</v>
      </c>
      <c r="C48" s="1">
        <f t="shared" si="1"/>
        <v>44</v>
      </c>
      <c r="D48" s="1">
        <f>MATCH(Data_Table[[#This Row],[Week]],_xlfn._xlws.SORT(_xlfn.UNIQUE(Data_Table[Week]),1,-1),0)</f>
        <v>4</v>
      </c>
      <c r="E48" s="1" t="str">
        <f>TEXT(Data_Table[[#This Row],[Date of the Ticket for Review]],"mmm")</f>
        <v>Oct</v>
      </c>
      <c r="F48" s="8">
        <v>863527</v>
      </c>
      <c r="G48" s="8" t="str">
        <f>VLOOKUP(F48,Agent_Table[],2,FALSE)</f>
        <v>Prakash Reddy</v>
      </c>
      <c r="H48" s="8" t="str">
        <f>IFERROR(VLOOKUP(Data_Table[[#This Row],[Ticket ID]],Product_Table[],2,FALSE),"")</f>
        <v/>
      </c>
      <c r="I48" s="3" t="s">
        <v>2</v>
      </c>
      <c r="J48" s="8">
        <v>3</v>
      </c>
      <c r="K48" s="8">
        <v>3</v>
      </c>
      <c r="L48" s="8">
        <v>3</v>
      </c>
      <c r="M48" s="8">
        <v>3</v>
      </c>
      <c r="N48" s="8">
        <v>3</v>
      </c>
      <c r="O48" s="8">
        <v>3</v>
      </c>
      <c r="P48" s="8">
        <v>3</v>
      </c>
      <c r="Q48" s="8">
        <v>3</v>
      </c>
      <c r="R48" s="5" t="s">
        <v>3</v>
      </c>
      <c r="S48" s="5" t="str">
        <f>IF(MIN(Data_Table[[#This Row],[Grammar &amp; Syntax ]:[Quality of First Response]])&lt;=1,"Fail",IF(MIN(Data_Table[[#This Row],[Grammar &amp; Syntax ]:[Quality of First Response]])=2,"Neutral","Pass"))</f>
        <v>Pass</v>
      </c>
      <c r="T48" s="5" t="str">
        <f>IF(MIN(Data_Table[[#This Row],[Grammar &amp; Syntax ]:[Quality of First Response]])&lt;=1,"Fail",IF(MIN(Data_Table[[#This Row],[Grammar &amp; Syntax ]:[Quality of First Response]])=2,"Pass","Pass"))</f>
        <v>Pass</v>
      </c>
      <c r="U48" s="5">
        <f>IF(Data_Table[[#This Row],[Compliance Critical PF]]="Fail",1,0)</f>
        <v>0</v>
      </c>
      <c r="V48" s="5"/>
      <c r="W48" s="8">
        <v>3</v>
      </c>
      <c r="X48" s="8">
        <v>3</v>
      </c>
      <c r="Y48" s="8">
        <v>3</v>
      </c>
      <c r="Z48" s="8">
        <v>3</v>
      </c>
      <c r="AA48" s="1" t="s">
        <v>12</v>
      </c>
      <c r="AB48" s="8">
        <v>3</v>
      </c>
      <c r="AC48" s="8">
        <v>3</v>
      </c>
      <c r="AD48" s="8">
        <v>3</v>
      </c>
      <c r="AE48" s="1" t="s">
        <v>12</v>
      </c>
      <c r="AF48" s="7" t="s">
        <v>12</v>
      </c>
      <c r="AG48" s="7" t="str">
        <f>IF(MIN(Data_Table[[#This Row],[Priority Level]:[Effective escalation ]])&lt;=1,"Fail",IF(MIN(Data_Table[[#This Row],[Priority Level]:[Effective escalation ]])=2,"Neutral","Pass"))</f>
        <v>Pass</v>
      </c>
      <c r="AH48" s="2" t="str">
        <f>IF(MIN(Data_Table[[#This Row],[Priority Level]:[Effective escalation ]])&lt;=1,"Fail",IF(MIN(Data_Table[[#This Row],[Priority Level]:[Effective escalation ]])=2,"Pass","Pass"))</f>
        <v>Pass</v>
      </c>
      <c r="AI48" s="2" t="str">
        <f>IF(Data_Table[[#This Row],[Business Critical PF]]="Fail",1,"")</f>
        <v/>
      </c>
      <c r="AJ48" s="5"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48"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48" s="5" t="str">
        <f>IF(Data_Table[[#This Row],[Attribute Fail Rate PF]]="Fail",1,"")</f>
        <v/>
      </c>
      <c r="AM48" s="5">
        <f>1</f>
        <v>1</v>
      </c>
      <c r="AN48" s="5" t="str">
        <f>IF(Data_Table[[#This Row],[Attribute Fail Rate PF]]="Fail",Data_Table[[#This Row],[Ticket ID]],"")</f>
        <v/>
      </c>
      <c r="AO48" s="5" t="str" cm="1">
        <f t="array" ref="AO48">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49" spans="1:41" ht="15" customHeight="1" x14ac:dyDescent="0.25">
      <c r="A49" s="10">
        <v>44860</v>
      </c>
      <c r="B49" s="1" t="s">
        <v>1</v>
      </c>
      <c r="C49" s="1">
        <f t="shared" si="1"/>
        <v>44</v>
      </c>
      <c r="D49" s="1">
        <f>MATCH(Data_Table[[#This Row],[Week]],_xlfn._xlws.SORT(_xlfn.UNIQUE(Data_Table[Week]),1,-1),0)</f>
        <v>4</v>
      </c>
      <c r="E49" s="1" t="str">
        <f>TEXT(Data_Table[[#This Row],[Date of the Ticket for Review]],"mmm")</f>
        <v>Oct</v>
      </c>
      <c r="F49" s="8">
        <v>867367</v>
      </c>
      <c r="G49" s="8" t="str">
        <f>VLOOKUP(F49,Agent_Table[],2,FALSE)</f>
        <v>Syed Muhammad Fahad Ismail</v>
      </c>
      <c r="H49" s="8" t="str">
        <f>IFERROR(VLOOKUP(Data_Table[[#This Row],[Ticket ID]],Product_Table[],2,FALSE),"")</f>
        <v/>
      </c>
      <c r="I49" s="3" t="s">
        <v>2</v>
      </c>
      <c r="J49" s="8">
        <v>3</v>
      </c>
      <c r="K49" s="8">
        <v>3</v>
      </c>
      <c r="L49" s="8">
        <v>3</v>
      </c>
      <c r="M49" s="8">
        <v>3</v>
      </c>
      <c r="N49" s="8">
        <v>3</v>
      </c>
      <c r="O49" s="8">
        <v>3</v>
      </c>
      <c r="P49" s="8">
        <v>3</v>
      </c>
      <c r="Q49" s="8">
        <v>3</v>
      </c>
      <c r="R49" s="5" t="s">
        <v>3</v>
      </c>
      <c r="S49" s="5" t="str">
        <f>IF(MIN(Data_Table[[#This Row],[Grammar &amp; Syntax ]:[Quality of First Response]])&lt;=1,"Fail",IF(MIN(Data_Table[[#This Row],[Grammar &amp; Syntax ]:[Quality of First Response]])=2,"Neutral","Pass"))</f>
        <v>Pass</v>
      </c>
      <c r="T49" s="5" t="str">
        <f>IF(MIN(Data_Table[[#This Row],[Grammar &amp; Syntax ]:[Quality of First Response]])&lt;=1,"Fail",IF(MIN(Data_Table[[#This Row],[Grammar &amp; Syntax ]:[Quality of First Response]])=2,"Pass","Pass"))</f>
        <v>Pass</v>
      </c>
      <c r="U49" s="5">
        <f>IF(Data_Table[[#This Row],[Compliance Critical PF]]="Fail",1,0)</f>
        <v>0</v>
      </c>
      <c r="V49" s="5"/>
      <c r="W49" s="8">
        <v>3</v>
      </c>
      <c r="X49" s="8">
        <v>3</v>
      </c>
      <c r="Y49" s="8">
        <v>3</v>
      </c>
      <c r="Z49" s="8">
        <v>3</v>
      </c>
      <c r="AA49" s="1" t="s">
        <v>12</v>
      </c>
      <c r="AB49" s="8">
        <v>3</v>
      </c>
      <c r="AC49" s="8">
        <v>3</v>
      </c>
      <c r="AD49" s="8">
        <v>3</v>
      </c>
      <c r="AE49" s="1" t="s">
        <v>12</v>
      </c>
      <c r="AF49" s="7" t="s">
        <v>12</v>
      </c>
      <c r="AG49" s="7" t="str">
        <f>IF(MIN(Data_Table[[#This Row],[Priority Level]:[Effective escalation ]])&lt;=1,"Fail",IF(MIN(Data_Table[[#This Row],[Priority Level]:[Effective escalation ]])=2,"Neutral","Pass"))</f>
        <v>Pass</v>
      </c>
      <c r="AH49" s="2" t="str">
        <f>IF(MIN(Data_Table[[#This Row],[Priority Level]:[Effective escalation ]])&lt;=1,"Fail",IF(MIN(Data_Table[[#This Row],[Priority Level]:[Effective escalation ]])=2,"Pass","Pass"))</f>
        <v>Pass</v>
      </c>
      <c r="AI49" s="2" t="str">
        <f>IF(Data_Table[[#This Row],[Business Critical PF]]="Fail",1,"")</f>
        <v/>
      </c>
      <c r="AJ49" s="5"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49"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49" s="5" t="str">
        <f>IF(Data_Table[[#This Row],[Attribute Fail Rate PF]]="Fail",1,"")</f>
        <v/>
      </c>
      <c r="AM49" s="5">
        <f>1</f>
        <v>1</v>
      </c>
      <c r="AN49" s="5" t="str">
        <f>IF(Data_Table[[#This Row],[Attribute Fail Rate PF]]="Fail",Data_Table[[#This Row],[Ticket ID]],"")</f>
        <v/>
      </c>
      <c r="AO49" s="5" t="str" cm="1">
        <f t="array" ref="AO49">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50" spans="1:41" ht="15" customHeight="1" x14ac:dyDescent="0.25">
      <c r="A50" s="10">
        <v>44858</v>
      </c>
      <c r="B50" s="1" t="s">
        <v>1</v>
      </c>
      <c r="C50" s="1">
        <f t="shared" si="1"/>
        <v>44</v>
      </c>
      <c r="D50" s="1">
        <f>MATCH(Data_Table[[#This Row],[Week]],_xlfn._xlws.SORT(_xlfn.UNIQUE(Data_Table[Week]),1,-1),0)</f>
        <v>4</v>
      </c>
      <c r="E50" s="1" t="str">
        <f>TEXT(Data_Table[[#This Row],[Date of the Ticket for Review]],"mmm")</f>
        <v>Oct</v>
      </c>
      <c r="F50" s="8">
        <v>862972</v>
      </c>
      <c r="G50" s="8" t="str">
        <f>VLOOKUP(F50,Agent_Table[],2,FALSE)</f>
        <v>Syed Muhammad Fahad Ismail</v>
      </c>
      <c r="H50" s="8" t="str">
        <f>IFERROR(VLOOKUP(Data_Table[[#This Row],[Ticket ID]],Product_Table[],2,FALSE),"")</f>
        <v/>
      </c>
      <c r="I50" s="3" t="s">
        <v>2</v>
      </c>
      <c r="J50" s="8">
        <v>3</v>
      </c>
      <c r="K50" s="8">
        <v>3</v>
      </c>
      <c r="L50" s="8">
        <v>3</v>
      </c>
      <c r="M50" s="8">
        <v>3</v>
      </c>
      <c r="N50" s="8">
        <v>3</v>
      </c>
      <c r="O50" s="8">
        <v>3</v>
      </c>
      <c r="P50" s="8">
        <v>3</v>
      </c>
      <c r="Q50" s="8">
        <v>3</v>
      </c>
      <c r="R50" s="5" t="s">
        <v>3</v>
      </c>
      <c r="S50" s="5" t="str">
        <f>IF(MIN(Data_Table[[#This Row],[Grammar &amp; Syntax ]:[Quality of First Response]])&lt;=1,"Fail",IF(MIN(Data_Table[[#This Row],[Grammar &amp; Syntax ]:[Quality of First Response]])=2,"Neutral","Pass"))</f>
        <v>Pass</v>
      </c>
      <c r="T50" s="5" t="str">
        <f>IF(MIN(Data_Table[[#This Row],[Grammar &amp; Syntax ]:[Quality of First Response]])&lt;=1,"Fail",IF(MIN(Data_Table[[#This Row],[Grammar &amp; Syntax ]:[Quality of First Response]])=2,"Pass","Pass"))</f>
        <v>Pass</v>
      </c>
      <c r="U50" s="5">
        <f>IF(Data_Table[[#This Row],[Compliance Critical PF]]="Fail",1,0)</f>
        <v>0</v>
      </c>
      <c r="V50" s="5"/>
      <c r="W50" s="8">
        <v>3</v>
      </c>
      <c r="X50" s="8">
        <v>3</v>
      </c>
      <c r="Y50" s="8">
        <v>3</v>
      </c>
      <c r="Z50" s="8">
        <v>3</v>
      </c>
      <c r="AA50" s="1" t="s">
        <v>12</v>
      </c>
      <c r="AB50" s="8">
        <v>3</v>
      </c>
      <c r="AC50" s="8">
        <v>3</v>
      </c>
      <c r="AD50" s="8">
        <v>3</v>
      </c>
      <c r="AE50" s="1" t="s">
        <v>12</v>
      </c>
      <c r="AF50" s="7" t="s">
        <v>81</v>
      </c>
      <c r="AG50" s="7" t="str">
        <f>IF(MIN(Data_Table[[#This Row],[Priority Level]:[Effective escalation ]])&lt;=1,"Fail",IF(MIN(Data_Table[[#This Row],[Priority Level]:[Effective escalation ]])=2,"Neutral","Pass"))</f>
        <v>Pass</v>
      </c>
      <c r="AH50" s="2" t="str">
        <f>IF(MIN(Data_Table[[#This Row],[Priority Level]:[Effective escalation ]])&lt;=1,"Fail",IF(MIN(Data_Table[[#This Row],[Priority Level]:[Effective escalation ]])=2,"Pass","Pass"))</f>
        <v>Pass</v>
      </c>
      <c r="AI50" s="2" t="str">
        <f>IF(Data_Table[[#This Row],[Business Critical PF]]="Fail",1,"")</f>
        <v/>
      </c>
      <c r="AJ50" s="5"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50"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50" s="5" t="str">
        <f>IF(Data_Table[[#This Row],[Attribute Fail Rate PF]]="Fail",1,"")</f>
        <v/>
      </c>
      <c r="AM50" s="5">
        <f>1</f>
        <v>1</v>
      </c>
      <c r="AN50" s="5" t="str">
        <f>IF(Data_Table[[#This Row],[Attribute Fail Rate PF]]="Fail",Data_Table[[#This Row],[Ticket ID]],"")</f>
        <v/>
      </c>
      <c r="AO50" s="5" t="str" cm="1">
        <f t="array" ref="AO50">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51" spans="1:41" ht="15" customHeight="1" x14ac:dyDescent="0.25">
      <c r="A51" s="10">
        <v>44860</v>
      </c>
      <c r="B51" s="1" t="s">
        <v>1</v>
      </c>
      <c r="C51" s="1">
        <f t="shared" si="1"/>
        <v>44</v>
      </c>
      <c r="D51" s="1">
        <f>MATCH(Data_Table[[#This Row],[Week]],_xlfn._xlws.SORT(_xlfn.UNIQUE(Data_Table[Week]),1,-1),0)</f>
        <v>4</v>
      </c>
      <c r="E51" s="1" t="str">
        <f>TEXT(Data_Table[[#This Row],[Date of the Ticket for Review]],"mmm")</f>
        <v>Oct</v>
      </c>
      <c r="F51" s="8">
        <v>866790</v>
      </c>
      <c r="G51" s="8" t="str">
        <f>VLOOKUP(F51,Agent_Table[],2,FALSE)</f>
        <v>Emmanuel Ehiman</v>
      </c>
      <c r="H51" s="8" t="str">
        <f>IFERROR(VLOOKUP(Data_Table[[#This Row],[Ticket ID]],Product_Table[],2,FALSE),"")</f>
        <v/>
      </c>
      <c r="I51" s="3" t="s">
        <v>2</v>
      </c>
      <c r="J51" s="8">
        <v>3</v>
      </c>
      <c r="K51" s="8">
        <v>3</v>
      </c>
      <c r="L51" s="8">
        <v>3</v>
      </c>
      <c r="M51" s="8">
        <v>3</v>
      </c>
      <c r="N51" s="8">
        <v>3</v>
      </c>
      <c r="O51" s="1" t="s">
        <v>12</v>
      </c>
      <c r="P51" s="8">
        <v>3</v>
      </c>
      <c r="Q51" s="8">
        <v>3</v>
      </c>
      <c r="R51" s="5" t="s">
        <v>3</v>
      </c>
      <c r="S51" s="5" t="str">
        <f>IF(MIN(Data_Table[[#This Row],[Grammar &amp; Syntax ]:[Quality of First Response]])&lt;=1,"Fail",IF(MIN(Data_Table[[#This Row],[Grammar &amp; Syntax ]:[Quality of First Response]])=2,"Neutral","Pass"))</f>
        <v>Pass</v>
      </c>
      <c r="T51" s="5" t="str">
        <f>IF(MIN(Data_Table[[#This Row],[Grammar &amp; Syntax ]:[Quality of First Response]])&lt;=1,"Fail",IF(MIN(Data_Table[[#This Row],[Grammar &amp; Syntax ]:[Quality of First Response]])=2,"Pass","Pass"))</f>
        <v>Pass</v>
      </c>
      <c r="U51" s="5">
        <f>IF(Data_Table[[#This Row],[Compliance Critical PF]]="Fail",1,0)</f>
        <v>0</v>
      </c>
      <c r="V51" s="5"/>
      <c r="W51" s="8">
        <v>3</v>
      </c>
      <c r="X51" s="8">
        <v>3</v>
      </c>
      <c r="Y51" s="8">
        <v>3</v>
      </c>
      <c r="Z51" s="8">
        <v>3</v>
      </c>
      <c r="AA51" s="1" t="s">
        <v>12</v>
      </c>
      <c r="AB51" s="8">
        <v>3</v>
      </c>
      <c r="AC51" s="8">
        <v>3</v>
      </c>
      <c r="AD51" s="8">
        <v>3</v>
      </c>
      <c r="AE51" s="1" t="s">
        <v>12</v>
      </c>
      <c r="AF51" s="7" t="s">
        <v>12</v>
      </c>
      <c r="AG51" s="7" t="str">
        <f>IF(MIN(Data_Table[[#This Row],[Priority Level]:[Effective escalation ]])&lt;=1,"Fail",IF(MIN(Data_Table[[#This Row],[Priority Level]:[Effective escalation ]])=2,"Neutral","Pass"))</f>
        <v>Pass</v>
      </c>
      <c r="AH51" s="2" t="str">
        <f>IF(MIN(Data_Table[[#This Row],[Priority Level]:[Effective escalation ]])&lt;=1,"Fail",IF(MIN(Data_Table[[#This Row],[Priority Level]:[Effective escalation ]])=2,"Pass","Pass"))</f>
        <v>Pass</v>
      </c>
      <c r="AI51" s="2" t="str">
        <f>IF(Data_Table[[#This Row],[Business Critical PF]]="Fail",1,"")</f>
        <v/>
      </c>
      <c r="AJ51" s="5"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51"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51" s="5" t="str">
        <f>IF(Data_Table[[#This Row],[Attribute Fail Rate PF]]="Fail",1,"")</f>
        <v/>
      </c>
      <c r="AM51" s="5">
        <f>1</f>
        <v>1</v>
      </c>
      <c r="AN51" s="5" t="str">
        <f>IF(Data_Table[[#This Row],[Attribute Fail Rate PF]]="Fail",Data_Table[[#This Row],[Ticket ID]],"")</f>
        <v/>
      </c>
      <c r="AO51" s="5" t="str" cm="1">
        <f t="array" ref="AO51">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52" spans="1:41" ht="15" customHeight="1" x14ac:dyDescent="0.25">
      <c r="A52" s="10">
        <v>44859</v>
      </c>
      <c r="B52" s="1" t="s">
        <v>1</v>
      </c>
      <c r="C52" s="1">
        <f t="shared" si="1"/>
        <v>44</v>
      </c>
      <c r="D52" s="1">
        <f>MATCH(Data_Table[[#This Row],[Week]],_xlfn._xlws.SORT(_xlfn.UNIQUE(Data_Table[Week]),1,-1),0)</f>
        <v>4</v>
      </c>
      <c r="E52" s="1" t="str">
        <f>TEXT(Data_Table[[#This Row],[Date of the Ticket for Review]],"mmm")</f>
        <v>Oct</v>
      </c>
      <c r="F52" s="8">
        <v>865371</v>
      </c>
      <c r="G52" s="8" t="str">
        <f>VLOOKUP(F52,Agent_Table[],2,FALSE)</f>
        <v>Emmanuel Ehiman</v>
      </c>
      <c r="H52" s="8" t="str">
        <f>IFERROR(VLOOKUP(Data_Table[[#This Row],[Ticket ID]],Product_Table[],2,FALSE),"")</f>
        <v/>
      </c>
      <c r="I52" s="3" t="s">
        <v>2</v>
      </c>
      <c r="J52" s="8">
        <v>3</v>
      </c>
      <c r="K52" s="8">
        <v>3</v>
      </c>
      <c r="L52" s="8">
        <v>3</v>
      </c>
      <c r="M52" s="8">
        <v>3</v>
      </c>
      <c r="N52" s="8">
        <v>3</v>
      </c>
      <c r="O52" s="8">
        <v>3</v>
      </c>
      <c r="P52" s="8">
        <v>3</v>
      </c>
      <c r="Q52" s="8">
        <v>3</v>
      </c>
      <c r="R52" s="5" t="s">
        <v>3</v>
      </c>
      <c r="S52" s="5" t="str">
        <f>IF(MIN(Data_Table[[#This Row],[Grammar &amp; Syntax ]:[Quality of First Response]])&lt;=1,"Fail",IF(MIN(Data_Table[[#This Row],[Grammar &amp; Syntax ]:[Quality of First Response]])=2,"Neutral","Pass"))</f>
        <v>Pass</v>
      </c>
      <c r="T52" s="5" t="str">
        <f>IF(MIN(Data_Table[[#This Row],[Grammar &amp; Syntax ]:[Quality of First Response]])&lt;=1,"Fail",IF(MIN(Data_Table[[#This Row],[Grammar &amp; Syntax ]:[Quality of First Response]])=2,"Pass","Pass"))</f>
        <v>Pass</v>
      </c>
      <c r="U52" s="5">
        <f>IF(Data_Table[[#This Row],[Compliance Critical PF]]="Fail",1,0)</f>
        <v>0</v>
      </c>
      <c r="V52" s="5"/>
      <c r="W52" s="8">
        <v>3</v>
      </c>
      <c r="X52" s="8">
        <v>3</v>
      </c>
      <c r="Y52" s="8">
        <v>3</v>
      </c>
      <c r="Z52" s="8">
        <v>3</v>
      </c>
      <c r="AA52" s="1" t="s">
        <v>12</v>
      </c>
      <c r="AB52" s="8">
        <v>2</v>
      </c>
      <c r="AC52" s="8">
        <v>3</v>
      </c>
      <c r="AD52" s="8">
        <v>3</v>
      </c>
      <c r="AE52" s="1" t="s">
        <v>12</v>
      </c>
      <c r="AF52" s="7" t="s">
        <v>80</v>
      </c>
      <c r="AG52" s="7" t="str">
        <f>IF(MIN(Data_Table[[#This Row],[Priority Level]:[Effective escalation ]])&lt;=1,"Fail",IF(MIN(Data_Table[[#This Row],[Priority Level]:[Effective escalation ]])=2,"Neutral","Pass"))</f>
        <v>Neutral</v>
      </c>
      <c r="AH52" s="2" t="str">
        <f>IF(MIN(Data_Table[[#This Row],[Priority Level]:[Effective escalation ]])&lt;=1,"Fail",IF(MIN(Data_Table[[#This Row],[Priority Level]:[Effective escalation ]])=2,"Pass","Pass"))</f>
        <v>Pass</v>
      </c>
      <c r="AI52" s="2" t="str">
        <f>IF(Data_Table[[#This Row],[Business Critical PF]]="Fail",1,"")</f>
        <v/>
      </c>
      <c r="AJ52" s="5" t="str">
        <f>IF(MIN(Data_Table[[#This Row],[Grammar &amp; Syntax ]:[Quality of First Response]],Data_Table[[#This Row],[Priority Level]:[Effective escalation ]])&lt;=1,"Fail",IF(MIN(Data_Table[[#This Row],[Grammar &amp; Syntax ]:[Quality of First Response]],Data_Table[[#This Row],[Priority Level]:[Effective escalation ]])=2,"Neutral","Pass"))</f>
        <v>Neutral</v>
      </c>
      <c r="AK52"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52" s="5" t="str">
        <f>IF(Data_Table[[#This Row],[Attribute Fail Rate PF]]="Fail",1,"")</f>
        <v/>
      </c>
      <c r="AM52" s="5">
        <f>1</f>
        <v>1</v>
      </c>
      <c r="AN52" s="5" t="str">
        <f>IF(Data_Table[[#This Row],[Attribute Fail Rate PF]]="Fail",Data_Table[[#This Row],[Ticket ID]],"")</f>
        <v/>
      </c>
      <c r="AO52" s="5" t="str" cm="1">
        <f t="array" ref="AO52">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53" spans="1:41" ht="15" customHeight="1" x14ac:dyDescent="0.25">
      <c r="A53" s="10">
        <v>44859</v>
      </c>
      <c r="B53" s="1" t="s">
        <v>1</v>
      </c>
      <c r="C53" s="1">
        <f t="shared" si="1"/>
        <v>44</v>
      </c>
      <c r="D53" s="1">
        <f>MATCH(Data_Table[[#This Row],[Week]],_xlfn._xlws.SORT(_xlfn.UNIQUE(Data_Table[Week]),1,-1),0)</f>
        <v>4</v>
      </c>
      <c r="E53" s="1" t="str">
        <f>TEXT(Data_Table[[#This Row],[Date of the Ticket for Review]],"mmm")</f>
        <v>Oct</v>
      </c>
      <c r="F53" s="8">
        <v>864843</v>
      </c>
      <c r="G53" s="8" t="str">
        <f>VLOOKUP(F53,Agent_Table[],2,FALSE)</f>
        <v>Tomasz Bulawa</v>
      </c>
      <c r="H53" s="8" t="str">
        <f>IFERROR(VLOOKUP(Data_Table[[#This Row],[Ticket ID]],Product_Table[],2,FALSE),"")</f>
        <v/>
      </c>
      <c r="I53" s="3" t="s">
        <v>2</v>
      </c>
      <c r="J53" s="8">
        <v>3</v>
      </c>
      <c r="K53" s="8">
        <v>3</v>
      </c>
      <c r="L53" s="8">
        <v>3</v>
      </c>
      <c r="M53" s="8">
        <v>3</v>
      </c>
      <c r="N53" s="8">
        <v>3</v>
      </c>
      <c r="O53" s="8">
        <v>3</v>
      </c>
      <c r="P53" s="8">
        <v>3</v>
      </c>
      <c r="Q53" s="8">
        <v>3</v>
      </c>
      <c r="R53" s="5" t="s">
        <v>3</v>
      </c>
      <c r="S53" s="5" t="str">
        <f>IF(MIN(Data_Table[[#This Row],[Grammar &amp; Syntax ]:[Quality of First Response]])&lt;=1,"Fail",IF(MIN(Data_Table[[#This Row],[Grammar &amp; Syntax ]:[Quality of First Response]])=2,"Neutral","Pass"))</f>
        <v>Pass</v>
      </c>
      <c r="T53" s="5" t="str">
        <f>IF(MIN(Data_Table[[#This Row],[Grammar &amp; Syntax ]:[Quality of First Response]])&lt;=1,"Fail",IF(MIN(Data_Table[[#This Row],[Grammar &amp; Syntax ]:[Quality of First Response]])=2,"Pass","Pass"))</f>
        <v>Pass</v>
      </c>
      <c r="U53" s="5">
        <f>IF(Data_Table[[#This Row],[Compliance Critical PF]]="Fail",1,0)</f>
        <v>0</v>
      </c>
      <c r="V53" s="5"/>
      <c r="W53" s="8">
        <v>3</v>
      </c>
      <c r="X53" s="8">
        <v>3</v>
      </c>
      <c r="Y53" s="8">
        <v>3</v>
      </c>
      <c r="Z53" s="8">
        <v>3</v>
      </c>
      <c r="AA53" s="1" t="s">
        <v>12</v>
      </c>
      <c r="AB53" s="8">
        <v>3</v>
      </c>
      <c r="AC53" s="8">
        <v>3</v>
      </c>
      <c r="AD53" s="8">
        <v>3</v>
      </c>
      <c r="AE53" s="1" t="s">
        <v>12</v>
      </c>
      <c r="AF53" s="7" t="s">
        <v>12</v>
      </c>
      <c r="AG53" s="7" t="str">
        <f>IF(MIN(Data_Table[[#This Row],[Priority Level]:[Effective escalation ]])&lt;=1,"Fail",IF(MIN(Data_Table[[#This Row],[Priority Level]:[Effective escalation ]])=2,"Neutral","Pass"))</f>
        <v>Pass</v>
      </c>
      <c r="AH53" s="2" t="str">
        <f>IF(MIN(Data_Table[[#This Row],[Priority Level]:[Effective escalation ]])&lt;=1,"Fail",IF(MIN(Data_Table[[#This Row],[Priority Level]:[Effective escalation ]])=2,"Pass","Pass"))</f>
        <v>Pass</v>
      </c>
      <c r="AI53" s="2" t="str">
        <f>IF(Data_Table[[#This Row],[Business Critical PF]]="Fail",1,"")</f>
        <v/>
      </c>
      <c r="AJ53" s="5"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53"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53" s="5" t="str">
        <f>IF(Data_Table[[#This Row],[Attribute Fail Rate PF]]="Fail",1,"")</f>
        <v/>
      </c>
      <c r="AM53" s="5">
        <f>1</f>
        <v>1</v>
      </c>
      <c r="AN53" s="5" t="str">
        <f>IF(Data_Table[[#This Row],[Attribute Fail Rate PF]]="Fail",Data_Table[[#This Row],[Ticket ID]],"")</f>
        <v/>
      </c>
      <c r="AO53" s="5" t="str" cm="1">
        <f t="array" ref="AO53">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54" spans="1:41" ht="15" customHeight="1" x14ac:dyDescent="0.25">
      <c r="A54" s="10">
        <v>44858</v>
      </c>
      <c r="B54" s="1" t="s">
        <v>1</v>
      </c>
      <c r="C54" s="1">
        <f t="shared" si="1"/>
        <v>44</v>
      </c>
      <c r="D54" s="1">
        <f>MATCH(Data_Table[[#This Row],[Week]],_xlfn._xlws.SORT(_xlfn.UNIQUE(Data_Table[Week]),1,-1),0)</f>
        <v>4</v>
      </c>
      <c r="E54" s="1" t="str">
        <f>TEXT(Data_Table[[#This Row],[Date of the Ticket for Review]],"mmm")</f>
        <v>Oct</v>
      </c>
      <c r="F54" s="8">
        <v>863394</v>
      </c>
      <c r="G54" s="8" t="str">
        <f>VLOOKUP(F54,Agent_Table[],2,FALSE)</f>
        <v>Tomasz Bulawa</v>
      </c>
      <c r="H54" s="8" t="str">
        <f>IFERROR(VLOOKUP(Data_Table[[#This Row],[Ticket ID]],Product_Table[],2,FALSE),"")</f>
        <v/>
      </c>
      <c r="I54" s="3" t="s">
        <v>2</v>
      </c>
      <c r="J54" s="8">
        <v>3</v>
      </c>
      <c r="K54" s="8">
        <v>3</v>
      </c>
      <c r="L54" s="8">
        <v>3</v>
      </c>
      <c r="M54" s="8">
        <v>3</v>
      </c>
      <c r="N54" s="8">
        <v>3</v>
      </c>
      <c r="O54" s="8">
        <v>3</v>
      </c>
      <c r="P54" s="8">
        <v>3</v>
      </c>
      <c r="Q54" s="8">
        <v>3</v>
      </c>
      <c r="R54" s="5" t="s">
        <v>3</v>
      </c>
      <c r="S54" s="5" t="str">
        <f>IF(MIN(Data_Table[[#This Row],[Grammar &amp; Syntax ]:[Quality of First Response]])&lt;=1,"Fail",IF(MIN(Data_Table[[#This Row],[Grammar &amp; Syntax ]:[Quality of First Response]])=2,"Neutral","Pass"))</f>
        <v>Pass</v>
      </c>
      <c r="T54" s="5" t="str">
        <f>IF(MIN(Data_Table[[#This Row],[Grammar &amp; Syntax ]:[Quality of First Response]])&lt;=1,"Fail",IF(MIN(Data_Table[[#This Row],[Grammar &amp; Syntax ]:[Quality of First Response]])=2,"Pass","Pass"))</f>
        <v>Pass</v>
      </c>
      <c r="U54" s="5">
        <f>IF(Data_Table[[#This Row],[Compliance Critical PF]]="Fail",1,0)</f>
        <v>0</v>
      </c>
      <c r="V54" s="5"/>
      <c r="W54" s="8">
        <v>3</v>
      </c>
      <c r="X54" s="8">
        <v>3</v>
      </c>
      <c r="Y54" s="8">
        <v>3</v>
      </c>
      <c r="Z54" s="8">
        <v>3</v>
      </c>
      <c r="AA54" s="1" t="s">
        <v>12</v>
      </c>
      <c r="AB54" s="8">
        <v>2</v>
      </c>
      <c r="AC54" s="8">
        <v>3</v>
      </c>
      <c r="AD54" s="8">
        <v>3</v>
      </c>
      <c r="AE54" s="1" t="s">
        <v>12</v>
      </c>
      <c r="AF54" s="7" t="s">
        <v>79</v>
      </c>
      <c r="AG54" s="7" t="str">
        <f>IF(MIN(Data_Table[[#This Row],[Priority Level]:[Effective escalation ]])&lt;=1,"Fail",IF(MIN(Data_Table[[#This Row],[Priority Level]:[Effective escalation ]])=2,"Neutral","Pass"))</f>
        <v>Neutral</v>
      </c>
      <c r="AH54" s="2" t="str">
        <f>IF(MIN(Data_Table[[#This Row],[Priority Level]:[Effective escalation ]])&lt;=1,"Fail",IF(MIN(Data_Table[[#This Row],[Priority Level]:[Effective escalation ]])=2,"Pass","Pass"))</f>
        <v>Pass</v>
      </c>
      <c r="AI54" s="2" t="str">
        <f>IF(Data_Table[[#This Row],[Business Critical PF]]="Fail",1,"")</f>
        <v/>
      </c>
      <c r="AJ54" s="5" t="str">
        <f>IF(MIN(Data_Table[[#This Row],[Grammar &amp; Syntax ]:[Quality of First Response]],Data_Table[[#This Row],[Priority Level]:[Effective escalation ]])&lt;=1,"Fail",IF(MIN(Data_Table[[#This Row],[Grammar &amp; Syntax ]:[Quality of First Response]],Data_Table[[#This Row],[Priority Level]:[Effective escalation ]])=2,"Neutral","Pass"))</f>
        <v>Neutral</v>
      </c>
      <c r="AK54"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54" s="5" t="str">
        <f>IF(Data_Table[[#This Row],[Attribute Fail Rate PF]]="Fail",1,"")</f>
        <v/>
      </c>
      <c r="AM54" s="5">
        <f>1</f>
        <v>1</v>
      </c>
      <c r="AN54" s="5" t="str">
        <f>IF(Data_Table[[#This Row],[Attribute Fail Rate PF]]="Fail",Data_Table[[#This Row],[Ticket ID]],"")</f>
        <v/>
      </c>
      <c r="AO54" s="5" t="str" cm="1">
        <f t="array" ref="AO54">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55" spans="1:41" ht="15" customHeight="1" x14ac:dyDescent="0.25">
      <c r="A55" s="10">
        <v>44859</v>
      </c>
      <c r="B55" s="1" t="s">
        <v>1</v>
      </c>
      <c r="C55" s="1">
        <f t="shared" si="1"/>
        <v>44</v>
      </c>
      <c r="D55" s="1">
        <f>MATCH(Data_Table[[#This Row],[Week]],_xlfn._xlws.SORT(_xlfn.UNIQUE(Data_Table[Week]),1,-1),0)</f>
        <v>4</v>
      </c>
      <c r="E55" s="1" t="str">
        <f>TEXT(Data_Table[[#This Row],[Date of the Ticket for Review]],"mmm")</f>
        <v>Oct</v>
      </c>
      <c r="F55" s="8">
        <v>865031</v>
      </c>
      <c r="G55" s="8" t="str">
        <f>VLOOKUP(F55,Agent_Table[],2,FALSE)</f>
        <v>Oka Anazodo</v>
      </c>
      <c r="H55" s="8" t="str">
        <f>IFERROR(VLOOKUP(Data_Table[[#This Row],[Ticket ID]],Product_Table[],2,FALSE),"")</f>
        <v/>
      </c>
      <c r="I55" s="3" t="s">
        <v>2</v>
      </c>
      <c r="J55" s="8">
        <v>3</v>
      </c>
      <c r="K55" s="8">
        <v>3</v>
      </c>
      <c r="L55" s="8">
        <v>3</v>
      </c>
      <c r="M55" s="8">
        <v>3</v>
      </c>
      <c r="N55" s="8">
        <v>3</v>
      </c>
      <c r="O55" s="8">
        <v>3</v>
      </c>
      <c r="P55" s="8">
        <v>3</v>
      </c>
      <c r="Q55" s="8">
        <v>3</v>
      </c>
      <c r="R55" s="5" t="s">
        <v>3</v>
      </c>
      <c r="S55" s="5" t="str">
        <f>IF(MIN(Data_Table[[#This Row],[Grammar &amp; Syntax ]:[Quality of First Response]])&lt;=1,"Fail",IF(MIN(Data_Table[[#This Row],[Grammar &amp; Syntax ]:[Quality of First Response]])=2,"Neutral","Pass"))</f>
        <v>Pass</v>
      </c>
      <c r="T55" s="5" t="str">
        <f>IF(MIN(Data_Table[[#This Row],[Grammar &amp; Syntax ]:[Quality of First Response]])&lt;=1,"Fail",IF(MIN(Data_Table[[#This Row],[Grammar &amp; Syntax ]:[Quality of First Response]])=2,"Pass","Pass"))</f>
        <v>Pass</v>
      </c>
      <c r="U55" s="5">
        <f>IF(Data_Table[[#This Row],[Compliance Critical PF]]="Fail",1,0)</f>
        <v>0</v>
      </c>
      <c r="V55" s="5"/>
      <c r="W55" s="8">
        <v>3</v>
      </c>
      <c r="X55" s="8">
        <v>3</v>
      </c>
      <c r="Y55" s="8">
        <v>3</v>
      </c>
      <c r="Z55" s="8">
        <v>3</v>
      </c>
      <c r="AA55" s="1" t="s">
        <v>12</v>
      </c>
      <c r="AB55" s="8">
        <v>3</v>
      </c>
      <c r="AC55" s="8">
        <v>3</v>
      </c>
      <c r="AD55" s="8">
        <v>3</v>
      </c>
      <c r="AE55" s="1" t="s">
        <v>12</v>
      </c>
      <c r="AF55" s="7" t="s">
        <v>12</v>
      </c>
      <c r="AG55" s="7" t="str">
        <f>IF(MIN(Data_Table[[#This Row],[Priority Level]:[Effective escalation ]])&lt;=1,"Fail",IF(MIN(Data_Table[[#This Row],[Priority Level]:[Effective escalation ]])=2,"Neutral","Pass"))</f>
        <v>Pass</v>
      </c>
      <c r="AH55" s="2" t="str">
        <f>IF(MIN(Data_Table[[#This Row],[Priority Level]:[Effective escalation ]])&lt;=1,"Fail",IF(MIN(Data_Table[[#This Row],[Priority Level]:[Effective escalation ]])=2,"Pass","Pass"))</f>
        <v>Pass</v>
      </c>
      <c r="AI55" s="2" t="str">
        <f>IF(Data_Table[[#This Row],[Business Critical PF]]="Fail",1,"")</f>
        <v/>
      </c>
      <c r="AJ55" s="5"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55"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55" s="5" t="str">
        <f>IF(Data_Table[[#This Row],[Attribute Fail Rate PF]]="Fail",1,"")</f>
        <v/>
      </c>
      <c r="AM55" s="5">
        <f>1</f>
        <v>1</v>
      </c>
      <c r="AN55" s="5" t="str">
        <f>IF(Data_Table[[#This Row],[Attribute Fail Rate PF]]="Fail",Data_Table[[#This Row],[Ticket ID]],"")</f>
        <v/>
      </c>
      <c r="AO55" s="5" t="str" cm="1">
        <f t="array" ref="AO55">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56" spans="1:41" ht="15" customHeight="1" x14ac:dyDescent="0.25">
      <c r="A56" s="10">
        <v>44858</v>
      </c>
      <c r="B56" s="1" t="s">
        <v>1</v>
      </c>
      <c r="C56" s="1">
        <f t="shared" si="1"/>
        <v>44</v>
      </c>
      <c r="D56" s="1">
        <f>MATCH(Data_Table[[#This Row],[Week]],_xlfn._xlws.SORT(_xlfn.UNIQUE(Data_Table[Week]),1,-1),0)</f>
        <v>4</v>
      </c>
      <c r="E56" s="1" t="str">
        <f>TEXT(Data_Table[[#This Row],[Date of the Ticket for Review]],"mmm")</f>
        <v>Oct</v>
      </c>
      <c r="F56" s="8">
        <v>863088</v>
      </c>
      <c r="G56" s="8" t="str">
        <f>VLOOKUP(F56,Agent_Table[],2,FALSE)</f>
        <v>Oka Anazodo</v>
      </c>
      <c r="H56" s="8" t="str">
        <f>IFERROR(VLOOKUP(Data_Table[[#This Row],[Ticket ID]],Product_Table[],2,FALSE),"")</f>
        <v/>
      </c>
      <c r="I56" s="3" t="s">
        <v>2</v>
      </c>
      <c r="J56" s="8">
        <v>3</v>
      </c>
      <c r="K56" s="8">
        <v>3</v>
      </c>
      <c r="L56" s="8">
        <v>3</v>
      </c>
      <c r="M56" s="8">
        <v>3</v>
      </c>
      <c r="N56" s="8">
        <v>3</v>
      </c>
      <c r="O56" s="8">
        <v>3</v>
      </c>
      <c r="P56" s="8">
        <v>3</v>
      </c>
      <c r="Q56" s="8">
        <v>3</v>
      </c>
      <c r="R56" s="5" t="s">
        <v>3</v>
      </c>
      <c r="S56" s="5" t="str">
        <f>IF(MIN(Data_Table[[#This Row],[Grammar &amp; Syntax ]:[Quality of First Response]])&lt;=1,"Fail",IF(MIN(Data_Table[[#This Row],[Grammar &amp; Syntax ]:[Quality of First Response]])=2,"Neutral","Pass"))</f>
        <v>Pass</v>
      </c>
      <c r="T56" s="5" t="str">
        <f>IF(MIN(Data_Table[[#This Row],[Grammar &amp; Syntax ]:[Quality of First Response]])&lt;=1,"Fail",IF(MIN(Data_Table[[#This Row],[Grammar &amp; Syntax ]:[Quality of First Response]])=2,"Pass","Pass"))</f>
        <v>Pass</v>
      </c>
      <c r="U56" s="5">
        <f>IF(Data_Table[[#This Row],[Compliance Critical PF]]="Fail",1,0)</f>
        <v>0</v>
      </c>
      <c r="V56" s="5"/>
      <c r="W56" s="8">
        <v>3</v>
      </c>
      <c r="X56" s="8">
        <v>3</v>
      </c>
      <c r="Y56" s="8">
        <v>3</v>
      </c>
      <c r="Z56" s="8">
        <v>3</v>
      </c>
      <c r="AA56" s="1" t="s">
        <v>12</v>
      </c>
      <c r="AB56" s="8">
        <v>3</v>
      </c>
      <c r="AC56" s="8">
        <v>3</v>
      </c>
      <c r="AD56" s="8">
        <v>3</v>
      </c>
      <c r="AE56" s="1" t="s">
        <v>12</v>
      </c>
      <c r="AF56" s="7" t="s">
        <v>12</v>
      </c>
      <c r="AG56" s="7" t="str">
        <f>IF(MIN(Data_Table[[#This Row],[Priority Level]:[Effective escalation ]])&lt;=1,"Fail",IF(MIN(Data_Table[[#This Row],[Priority Level]:[Effective escalation ]])=2,"Neutral","Pass"))</f>
        <v>Pass</v>
      </c>
      <c r="AH56" s="2" t="str">
        <f>IF(MIN(Data_Table[[#This Row],[Priority Level]:[Effective escalation ]])&lt;=1,"Fail",IF(MIN(Data_Table[[#This Row],[Priority Level]:[Effective escalation ]])=2,"Pass","Pass"))</f>
        <v>Pass</v>
      </c>
      <c r="AI56" s="2" t="str">
        <f>IF(Data_Table[[#This Row],[Business Critical PF]]="Fail",1,"")</f>
        <v/>
      </c>
      <c r="AJ56" s="5"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56"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56" s="5" t="str">
        <f>IF(Data_Table[[#This Row],[Attribute Fail Rate PF]]="Fail",1,"")</f>
        <v/>
      </c>
      <c r="AM56" s="5">
        <f>1</f>
        <v>1</v>
      </c>
      <c r="AN56" s="5" t="str">
        <f>IF(Data_Table[[#This Row],[Attribute Fail Rate PF]]="Fail",Data_Table[[#This Row],[Ticket ID]],"")</f>
        <v/>
      </c>
      <c r="AO56" s="5" t="str" cm="1">
        <f t="array" ref="AO56">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57" spans="1:41" ht="15" customHeight="1" x14ac:dyDescent="0.25">
      <c r="A57" s="10">
        <v>44870</v>
      </c>
      <c r="B57" s="1" t="s">
        <v>6</v>
      </c>
      <c r="C57" s="1">
        <f t="shared" si="1"/>
        <v>45</v>
      </c>
      <c r="D57" s="1">
        <f>MATCH(Data_Table[[#This Row],[Week]],_xlfn._xlws.SORT(_xlfn.UNIQUE(Data_Table[Week]),1,-1),0)</f>
        <v>3</v>
      </c>
      <c r="E57" s="1" t="str">
        <f>TEXT(Data_Table[[#This Row],[Date of the Ticket for Review]],"mmm")</f>
        <v>Nov</v>
      </c>
      <c r="F57" s="8">
        <v>881383</v>
      </c>
      <c r="G57" s="8" t="str">
        <f>VLOOKUP(F57,Agent_Table[],2,FALSE)</f>
        <v>Sithu Hein</v>
      </c>
      <c r="H57" s="8" t="str">
        <f>IFERROR(VLOOKUP(Data_Table[[#This Row],[Ticket ID]],Product_Table[],2,FALSE),"")</f>
        <v>Measurement</v>
      </c>
      <c r="I57" s="3" t="s">
        <v>2</v>
      </c>
      <c r="J57" s="8">
        <v>3</v>
      </c>
      <c r="K57" s="8">
        <v>3</v>
      </c>
      <c r="L57" s="8">
        <v>3</v>
      </c>
      <c r="M57" s="8">
        <v>3</v>
      </c>
      <c r="N57" s="8">
        <v>3</v>
      </c>
      <c r="O57" s="8">
        <v>3</v>
      </c>
      <c r="P57" s="8">
        <v>3</v>
      </c>
      <c r="Q57" s="8">
        <v>3</v>
      </c>
      <c r="R57" s="5" t="s">
        <v>3</v>
      </c>
      <c r="S57" s="5" t="str">
        <f>IF(MIN(Data_Table[[#This Row],[Grammar &amp; Syntax ]:[Quality of First Response]])&lt;=1,"Fail",IF(MIN(Data_Table[[#This Row],[Grammar &amp; Syntax ]:[Quality of First Response]])=2,"Neutral","Pass"))</f>
        <v>Pass</v>
      </c>
      <c r="T57" s="5" t="str">
        <f>IF(MIN(Data_Table[[#This Row],[Grammar &amp; Syntax ]:[Quality of First Response]])&lt;=1,"Fail",IF(MIN(Data_Table[[#This Row],[Grammar &amp; Syntax ]:[Quality of First Response]])=2,"Pass","Pass"))</f>
        <v>Pass</v>
      </c>
      <c r="U57" s="5">
        <f>IF(Data_Table[[#This Row],[Compliance Critical PF]]="Fail",1,0)</f>
        <v>0</v>
      </c>
      <c r="V57" s="5"/>
      <c r="W57" s="8">
        <v>3</v>
      </c>
      <c r="X57" s="8">
        <v>3</v>
      </c>
      <c r="Y57" s="8">
        <v>3</v>
      </c>
      <c r="Z57" s="8">
        <v>3</v>
      </c>
      <c r="AA57" s="1" t="s">
        <v>12</v>
      </c>
      <c r="AB57" s="1" t="s">
        <v>12</v>
      </c>
      <c r="AC57" s="8">
        <v>3</v>
      </c>
      <c r="AD57" s="8">
        <v>2</v>
      </c>
      <c r="AE57" s="1" t="s">
        <v>12</v>
      </c>
      <c r="AF57" s="7" t="s">
        <v>13</v>
      </c>
      <c r="AG57" s="7" t="str">
        <f>IF(MIN(Data_Table[[#This Row],[Priority Level]:[Effective escalation ]])&lt;=1,"Fail",IF(MIN(Data_Table[[#This Row],[Priority Level]:[Effective escalation ]])=2,"Neutral","Pass"))</f>
        <v>Neutral</v>
      </c>
      <c r="AH57" s="2" t="str">
        <f>IF(MIN(Data_Table[[#This Row],[Priority Level]:[Effective escalation ]])&lt;=1,"Fail",IF(MIN(Data_Table[[#This Row],[Priority Level]:[Effective escalation ]])=2,"Pass","Pass"))</f>
        <v>Pass</v>
      </c>
      <c r="AI57" s="2" t="str">
        <f>IF(Data_Table[[#This Row],[Business Critical PF]]="Fail",1,"")</f>
        <v/>
      </c>
      <c r="AJ57" s="5" t="str">
        <f>IF(MIN(Data_Table[[#This Row],[Grammar &amp; Syntax ]:[Quality of First Response]],Data_Table[[#This Row],[Priority Level]:[Effective escalation ]])&lt;=1,"Fail",IF(MIN(Data_Table[[#This Row],[Grammar &amp; Syntax ]:[Quality of First Response]],Data_Table[[#This Row],[Priority Level]:[Effective escalation ]])=2,"Neutral","Pass"))</f>
        <v>Neutral</v>
      </c>
      <c r="AK57"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57" s="5" t="str">
        <f>IF(Data_Table[[#This Row],[Attribute Fail Rate PF]]="Fail",1,"")</f>
        <v/>
      </c>
      <c r="AM57" s="5">
        <f>1</f>
        <v>1</v>
      </c>
      <c r="AN57" s="5" t="str">
        <f>IF(Data_Table[[#This Row],[Attribute Fail Rate PF]]="Fail",Data_Table[[#This Row],[Ticket ID]],"")</f>
        <v/>
      </c>
      <c r="AO57" s="5" t="str" cm="1">
        <f t="array" ref="AO57">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58" spans="1:41" ht="15" customHeight="1" x14ac:dyDescent="0.25">
      <c r="A58" s="10">
        <v>44866</v>
      </c>
      <c r="B58" s="1" t="s">
        <v>6</v>
      </c>
      <c r="C58" s="1">
        <f t="shared" si="1"/>
        <v>45</v>
      </c>
      <c r="D58" s="1">
        <f>MATCH(Data_Table[[#This Row],[Week]],_xlfn._xlws.SORT(_xlfn.UNIQUE(Data_Table[Week]),1,-1),0)</f>
        <v>3</v>
      </c>
      <c r="E58" s="1" t="str">
        <f>TEXT(Data_Table[[#This Row],[Date of the Ticket for Review]],"mmm")</f>
        <v>Nov</v>
      </c>
      <c r="F58" s="8">
        <v>874796</v>
      </c>
      <c r="G58" s="8" t="str">
        <f>VLOOKUP(F58,Agent_Table[],2,FALSE)</f>
        <v>Sithu Hein</v>
      </c>
      <c r="H58" s="8" t="str">
        <f>IFERROR(VLOOKUP(Data_Table[[#This Row],[Ticket ID]],Product_Table[],2,FALSE),"")</f>
        <v>Platforms &amp; API</v>
      </c>
      <c r="I58" s="3" t="s">
        <v>2</v>
      </c>
      <c r="J58" s="8">
        <v>3</v>
      </c>
      <c r="K58" s="8">
        <v>3</v>
      </c>
      <c r="L58" s="8">
        <v>3</v>
      </c>
      <c r="M58" s="8">
        <v>3</v>
      </c>
      <c r="N58" s="8">
        <v>3</v>
      </c>
      <c r="O58" s="8">
        <v>3</v>
      </c>
      <c r="P58" s="8">
        <v>3</v>
      </c>
      <c r="Q58" s="8">
        <v>3</v>
      </c>
      <c r="R58" s="5" t="s">
        <v>3</v>
      </c>
      <c r="S58" s="5" t="str">
        <f>IF(MIN(Data_Table[[#This Row],[Grammar &amp; Syntax ]:[Quality of First Response]])&lt;=1,"Fail",IF(MIN(Data_Table[[#This Row],[Grammar &amp; Syntax ]:[Quality of First Response]])=2,"Neutral","Pass"))</f>
        <v>Pass</v>
      </c>
      <c r="T58" s="5" t="str">
        <f>IF(MIN(Data_Table[[#This Row],[Grammar &amp; Syntax ]:[Quality of First Response]])&lt;=1,"Fail",IF(MIN(Data_Table[[#This Row],[Grammar &amp; Syntax ]:[Quality of First Response]])=2,"Pass","Pass"))</f>
        <v>Pass</v>
      </c>
      <c r="U58" s="5">
        <f>IF(Data_Table[[#This Row],[Compliance Critical PF]]="Fail",1,0)</f>
        <v>0</v>
      </c>
      <c r="V58" s="5"/>
      <c r="W58" s="8">
        <v>3</v>
      </c>
      <c r="X58" s="8">
        <v>3</v>
      </c>
      <c r="Y58" s="8">
        <v>3</v>
      </c>
      <c r="Z58" s="8">
        <v>3</v>
      </c>
      <c r="AA58" s="1" t="s">
        <v>12</v>
      </c>
      <c r="AB58" s="8">
        <v>3</v>
      </c>
      <c r="AC58" s="8">
        <v>3</v>
      </c>
      <c r="AD58" s="8">
        <v>2</v>
      </c>
      <c r="AE58" s="1" t="s">
        <v>12</v>
      </c>
      <c r="AF58" s="7" t="s">
        <v>14</v>
      </c>
      <c r="AG58" s="7" t="str">
        <f>IF(MIN(Data_Table[[#This Row],[Priority Level]:[Effective escalation ]])&lt;=1,"Fail",IF(MIN(Data_Table[[#This Row],[Priority Level]:[Effective escalation ]])=2,"Neutral","Pass"))</f>
        <v>Neutral</v>
      </c>
      <c r="AH58" s="2" t="str">
        <f>IF(MIN(Data_Table[[#This Row],[Priority Level]:[Effective escalation ]])&lt;=1,"Fail",IF(MIN(Data_Table[[#This Row],[Priority Level]:[Effective escalation ]])=2,"Pass","Pass"))</f>
        <v>Pass</v>
      </c>
      <c r="AI58" s="2" t="str">
        <f>IF(Data_Table[[#This Row],[Business Critical PF]]="Fail",1,"")</f>
        <v/>
      </c>
      <c r="AJ58" s="5" t="str">
        <f>IF(MIN(Data_Table[[#This Row],[Grammar &amp; Syntax ]:[Quality of First Response]],Data_Table[[#This Row],[Priority Level]:[Effective escalation ]])&lt;=1,"Fail",IF(MIN(Data_Table[[#This Row],[Grammar &amp; Syntax ]:[Quality of First Response]],Data_Table[[#This Row],[Priority Level]:[Effective escalation ]])=2,"Neutral","Pass"))</f>
        <v>Neutral</v>
      </c>
      <c r="AK58"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58" s="5" t="str">
        <f>IF(Data_Table[[#This Row],[Attribute Fail Rate PF]]="Fail",1,"")</f>
        <v/>
      </c>
      <c r="AM58" s="5">
        <f>1</f>
        <v>1</v>
      </c>
      <c r="AN58" s="5" t="str">
        <f>IF(Data_Table[[#This Row],[Attribute Fail Rate PF]]="Fail",Data_Table[[#This Row],[Ticket ID]],"")</f>
        <v/>
      </c>
      <c r="AO58" s="5" t="str" cm="1">
        <f t="array" ref="AO58">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59" spans="1:41" ht="15" customHeight="1" x14ac:dyDescent="0.25">
      <c r="A59" s="10">
        <v>44869</v>
      </c>
      <c r="B59" s="1" t="s">
        <v>6</v>
      </c>
      <c r="C59" s="1">
        <f t="shared" si="1"/>
        <v>45</v>
      </c>
      <c r="D59" s="1">
        <f>MATCH(Data_Table[[#This Row],[Week]],_xlfn._xlws.SORT(_xlfn.UNIQUE(Data_Table[Week]),1,-1),0)</f>
        <v>3</v>
      </c>
      <c r="E59" s="1" t="str">
        <f>TEXT(Data_Table[[#This Row],[Date of the Ticket for Review]],"mmm")</f>
        <v>Nov</v>
      </c>
      <c r="F59" s="8">
        <v>879871</v>
      </c>
      <c r="G59" s="8" t="str">
        <f>VLOOKUP(F59,Agent_Table[],2,FALSE)</f>
        <v>Rafael Cardoso</v>
      </c>
      <c r="H59" s="8" t="str">
        <f>IFERROR(VLOOKUP(Data_Table[[#This Row],[Ticket ID]],Product_Table[],2,FALSE),"")</f>
        <v>Platforms &amp; API</v>
      </c>
      <c r="I59" s="3" t="s">
        <v>2</v>
      </c>
      <c r="J59" s="8">
        <v>3</v>
      </c>
      <c r="K59" s="8">
        <v>3</v>
      </c>
      <c r="L59" s="8">
        <v>3</v>
      </c>
      <c r="M59" s="8">
        <v>3</v>
      </c>
      <c r="N59" s="8">
        <v>3</v>
      </c>
      <c r="O59" s="8">
        <v>3</v>
      </c>
      <c r="P59" s="8">
        <v>3</v>
      </c>
      <c r="Q59" s="8">
        <v>3</v>
      </c>
      <c r="R59" s="5" t="s">
        <v>3</v>
      </c>
      <c r="S59" s="5" t="str">
        <f>IF(MIN(Data_Table[[#This Row],[Grammar &amp; Syntax ]:[Quality of First Response]])&lt;=1,"Fail",IF(MIN(Data_Table[[#This Row],[Grammar &amp; Syntax ]:[Quality of First Response]])=2,"Neutral","Pass"))</f>
        <v>Pass</v>
      </c>
      <c r="T59" s="5" t="str">
        <f>IF(MIN(Data_Table[[#This Row],[Grammar &amp; Syntax ]:[Quality of First Response]])&lt;=1,"Fail",IF(MIN(Data_Table[[#This Row],[Grammar &amp; Syntax ]:[Quality of First Response]])=2,"Pass","Pass"))</f>
        <v>Pass</v>
      </c>
      <c r="U59" s="5">
        <f>IF(Data_Table[[#This Row],[Compliance Critical PF]]="Fail",1,0)</f>
        <v>0</v>
      </c>
      <c r="V59" s="5"/>
      <c r="W59" s="8">
        <v>3</v>
      </c>
      <c r="X59" s="8">
        <v>3</v>
      </c>
      <c r="Y59" s="8">
        <v>3</v>
      </c>
      <c r="Z59" s="8">
        <v>3</v>
      </c>
      <c r="AA59" s="1" t="s">
        <v>12</v>
      </c>
      <c r="AB59" s="8">
        <v>3</v>
      </c>
      <c r="AC59" s="8">
        <v>3</v>
      </c>
      <c r="AD59" s="8">
        <v>2</v>
      </c>
      <c r="AE59" s="1" t="s">
        <v>12</v>
      </c>
      <c r="AF59" s="7" t="s">
        <v>15</v>
      </c>
      <c r="AG59" s="7" t="str">
        <f>IF(MIN(Data_Table[[#This Row],[Priority Level]:[Effective escalation ]])&lt;=1,"Fail",IF(MIN(Data_Table[[#This Row],[Priority Level]:[Effective escalation ]])=2,"Neutral","Pass"))</f>
        <v>Neutral</v>
      </c>
      <c r="AH59" s="2" t="str">
        <f>IF(MIN(Data_Table[[#This Row],[Priority Level]:[Effective escalation ]])&lt;=1,"Fail",IF(MIN(Data_Table[[#This Row],[Priority Level]:[Effective escalation ]])=2,"Pass","Pass"))</f>
        <v>Pass</v>
      </c>
      <c r="AI59" s="2" t="str">
        <f>IF(Data_Table[[#This Row],[Business Critical PF]]="Fail",1,"")</f>
        <v/>
      </c>
      <c r="AJ59" s="5" t="str">
        <f>IF(MIN(Data_Table[[#This Row],[Grammar &amp; Syntax ]:[Quality of First Response]],Data_Table[[#This Row],[Priority Level]:[Effective escalation ]])&lt;=1,"Fail",IF(MIN(Data_Table[[#This Row],[Grammar &amp; Syntax ]:[Quality of First Response]],Data_Table[[#This Row],[Priority Level]:[Effective escalation ]])=2,"Neutral","Pass"))</f>
        <v>Neutral</v>
      </c>
      <c r="AK59"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59" s="5" t="str">
        <f>IF(Data_Table[[#This Row],[Attribute Fail Rate PF]]="Fail",1,"")</f>
        <v/>
      </c>
      <c r="AM59" s="5">
        <f>1</f>
        <v>1</v>
      </c>
      <c r="AN59" s="5" t="str">
        <f>IF(Data_Table[[#This Row],[Attribute Fail Rate PF]]="Fail",Data_Table[[#This Row],[Ticket ID]],"")</f>
        <v/>
      </c>
      <c r="AO59" s="5" t="str" cm="1">
        <f t="array" ref="AO59">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60" spans="1:41" ht="15" customHeight="1" x14ac:dyDescent="0.25">
      <c r="A60" s="10">
        <v>44866</v>
      </c>
      <c r="B60" s="1" t="s">
        <v>6</v>
      </c>
      <c r="C60" s="1">
        <f t="shared" si="1"/>
        <v>45</v>
      </c>
      <c r="D60" s="1">
        <f>MATCH(Data_Table[[#This Row],[Week]],_xlfn._xlws.SORT(_xlfn.UNIQUE(Data_Table[Week]),1,-1),0)</f>
        <v>3</v>
      </c>
      <c r="E60" s="1" t="str">
        <f>TEXT(Data_Table[[#This Row],[Date of the Ticket for Review]],"mmm")</f>
        <v>Nov</v>
      </c>
      <c r="F60" s="8">
        <v>874936</v>
      </c>
      <c r="G60" s="8" t="str">
        <f>VLOOKUP(F60,Agent_Table[],2,FALSE)</f>
        <v>Rafael Cardoso</v>
      </c>
      <c r="H60" s="8" t="str">
        <f>IFERROR(VLOOKUP(Data_Table[[#This Row],[Ticket ID]],Product_Table[],2,FALSE),"")</f>
        <v>Platforms &amp; API</v>
      </c>
      <c r="I60" s="3" t="s">
        <v>2</v>
      </c>
      <c r="J60" s="8">
        <v>3</v>
      </c>
      <c r="K60" s="8">
        <v>3</v>
      </c>
      <c r="L60" s="8">
        <v>3</v>
      </c>
      <c r="M60" s="8">
        <v>3</v>
      </c>
      <c r="N60" s="8">
        <v>3</v>
      </c>
      <c r="O60" s="8">
        <v>3</v>
      </c>
      <c r="P60" s="8">
        <v>3</v>
      </c>
      <c r="Q60" s="8">
        <v>3</v>
      </c>
      <c r="R60" s="5" t="s">
        <v>3</v>
      </c>
      <c r="S60" s="5" t="str">
        <f>IF(MIN(Data_Table[[#This Row],[Grammar &amp; Syntax ]:[Quality of First Response]])&lt;=1,"Fail",IF(MIN(Data_Table[[#This Row],[Grammar &amp; Syntax ]:[Quality of First Response]])=2,"Neutral","Pass"))</f>
        <v>Pass</v>
      </c>
      <c r="T60" s="5" t="str">
        <f>IF(MIN(Data_Table[[#This Row],[Grammar &amp; Syntax ]:[Quality of First Response]])&lt;=1,"Fail",IF(MIN(Data_Table[[#This Row],[Grammar &amp; Syntax ]:[Quality of First Response]])=2,"Pass","Pass"))</f>
        <v>Pass</v>
      </c>
      <c r="U60" s="5">
        <f>IF(Data_Table[[#This Row],[Compliance Critical PF]]="Fail",1,0)</f>
        <v>0</v>
      </c>
      <c r="V60" s="5"/>
      <c r="W60" s="8">
        <v>3</v>
      </c>
      <c r="X60" s="8">
        <v>3</v>
      </c>
      <c r="Y60" s="8">
        <v>3</v>
      </c>
      <c r="Z60" s="8">
        <v>3</v>
      </c>
      <c r="AA60" s="1" t="s">
        <v>12</v>
      </c>
      <c r="AB60" s="1" t="s">
        <v>12</v>
      </c>
      <c r="AC60" s="1" t="s">
        <v>12</v>
      </c>
      <c r="AD60" s="1" t="s">
        <v>12</v>
      </c>
      <c r="AE60" s="1" t="s">
        <v>12</v>
      </c>
      <c r="AF60" s="7" t="s">
        <v>16</v>
      </c>
      <c r="AG60" s="7" t="str">
        <f>IF(MIN(Data_Table[[#This Row],[Priority Level]:[Effective escalation ]])&lt;=1,"Fail",IF(MIN(Data_Table[[#This Row],[Priority Level]:[Effective escalation ]])=2,"Neutral","Pass"))</f>
        <v>Pass</v>
      </c>
      <c r="AH60" s="2" t="str">
        <f>IF(MIN(Data_Table[[#This Row],[Priority Level]:[Effective escalation ]])&lt;=1,"Fail",IF(MIN(Data_Table[[#This Row],[Priority Level]:[Effective escalation ]])=2,"Pass","Pass"))</f>
        <v>Pass</v>
      </c>
      <c r="AI60" s="2" t="str">
        <f>IF(Data_Table[[#This Row],[Business Critical PF]]="Fail",1,"")</f>
        <v/>
      </c>
      <c r="AJ60" s="5"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60"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60" s="5" t="str">
        <f>IF(Data_Table[[#This Row],[Attribute Fail Rate PF]]="Fail",1,"")</f>
        <v/>
      </c>
      <c r="AM60" s="5">
        <f>1</f>
        <v>1</v>
      </c>
      <c r="AN60" s="5" t="str">
        <f>IF(Data_Table[[#This Row],[Attribute Fail Rate PF]]="Fail",Data_Table[[#This Row],[Ticket ID]],"")</f>
        <v/>
      </c>
      <c r="AO60" s="5" t="str" cm="1">
        <f t="array" ref="AO60">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61" spans="1:41" ht="15" customHeight="1" x14ac:dyDescent="0.25">
      <c r="A61" s="10">
        <v>44866</v>
      </c>
      <c r="B61" s="1" t="s">
        <v>6</v>
      </c>
      <c r="C61" s="1">
        <f t="shared" si="1"/>
        <v>45</v>
      </c>
      <c r="D61" s="1">
        <f>MATCH(Data_Table[[#This Row],[Week]],_xlfn._xlws.SORT(_xlfn.UNIQUE(Data_Table[Week]),1,-1),0)</f>
        <v>3</v>
      </c>
      <c r="E61" s="1" t="str">
        <f>TEXT(Data_Table[[#This Row],[Date of the Ticket for Review]],"mmm")</f>
        <v>Nov</v>
      </c>
      <c r="F61" s="8">
        <v>874789</v>
      </c>
      <c r="G61" s="8" t="str">
        <f>VLOOKUP(F61,Agent_Table[],2,FALSE)</f>
        <v>Leandro Morais</v>
      </c>
      <c r="H61" s="8" t="str">
        <f>IFERROR(VLOOKUP(Data_Table[[#This Row],[Ticket ID]],Product_Table[],2,FALSE),"")</f>
        <v>Platforms &amp; API</v>
      </c>
      <c r="I61" s="3" t="s">
        <v>2</v>
      </c>
      <c r="J61" s="8">
        <v>3</v>
      </c>
      <c r="K61" s="8">
        <v>3</v>
      </c>
      <c r="L61" s="8">
        <v>3</v>
      </c>
      <c r="M61" s="8">
        <v>3</v>
      </c>
      <c r="N61" s="8">
        <v>3</v>
      </c>
      <c r="O61" s="8">
        <v>3</v>
      </c>
      <c r="P61" s="8">
        <v>3</v>
      </c>
      <c r="Q61" s="8">
        <v>3</v>
      </c>
      <c r="R61" s="5" t="s">
        <v>3</v>
      </c>
      <c r="S61" s="5" t="str">
        <f>IF(MIN(Data_Table[[#This Row],[Grammar &amp; Syntax ]:[Quality of First Response]])&lt;=1,"Fail",IF(MIN(Data_Table[[#This Row],[Grammar &amp; Syntax ]:[Quality of First Response]])=2,"Neutral","Pass"))</f>
        <v>Pass</v>
      </c>
      <c r="T61" s="5" t="str">
        <f>IF(MIN(Data_Table[[#This Row],[Grammar &amp; Syntax ]:[Quality of First Response]])&lt;=1,"Fail",IF(MIN(Data_Table[[#This Row],[Grammar &amp; Syntax ]:[Quality of First Response]])=2,"Pass","Pass"))</f>
        <v>Pass</v>
      </c>
      <c r="U61" s="5">
        <f>IF(Data_Table[[#This Row],[Compliance Critical PF]]="Fail",1,0)</f>
        <v>0</v>
      </c>
      <c r="V61" s="5"/>
      <c r="W61" s="8">
        <v>2</v>
      </c>
      <c r="X61" s="8">
        <v>3</v>
      </c>
      <c r="Y61" s="8">
        <v>3</v>
      </c>
      <c r="Z61" s="8">
        <v>3</v>
      </c>
      <c r="AA61" s="1" t="s">
        <v>12</v>
      </c>
      <c r="AB61" s="8">
        <v>3</v>
      </c>
      <c r="AC61" s="8">
        <v>3</v>
      </c>
      <c r="AD61" s="8">
        <v>2</v>
      </c>
      <c r="AE61" s="1" t="s">
        <v>12</v>
      </c>
      <c r="AF61" s="7" t="s">
        <v>17</v>
      </c>
      <c r="AG61" s="7" t="str">
        <f>IF(MIN(Data_Table[[#This Row],[Priority Level]:[Effective escalation ]])&lt;=1,"Fail",IF(MIN(Data_Table[[#This Row],[Priority Level]:[Effective escalation ]])=2,"Neutral","Pass"))</f>
        <v>Neutral</v>
      </c>
      <c r="AH61" s="2" t="str">
        <f>IF(MIN(Data_Table[[#This Row],[Priority Level]:[Effective escalation ]])&lt;=1,"Fail",IF(MIN(Data_Table[[#This Row],[Priority Level]:[Effective escalation ]])=2,"Pass","Pass"))</f>
        <v>Pass</v>
      </c>
      <c r="AI61" s="2" t="str">
        <f>IF(Data_Table[[#This Row],[Business Critical PF]]="Fail",1,"")</f>
        <v/>
      </c>
      <c r="AJ61" s="5" t="str">
        <f>IF(MIN(Data_Table[[#This Row],[Grammar &amp; Syntax ]:[Quality of First Response]],Data_Table[[#This Row],[Priority Level]:[Effective escalation ]])&lt;=1,"Fail",IF(MIN(Data_Table[[#This Row],[Grammar &amp; Syntax ]:[Quality of First Response]],Data_Table[[#This Row],[Priority Level]:[Effective escalation ]])=2,"Neutral","Pass"))</f>
        <v>Neutral</v>
      </c>
      <c r="AK61"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61" s="5" t="str">
        <f>IF(Data_Table[[#This Row],[Attribute Fail Rate PF]]="Fail",1,"")</f>
        <v/>
      </c>
      <c r="AM61" s="5">
        <f>1</f>
        <v>1</v>
      </c>
      <c r="AN61" s="5" t="str">
        <f>IF(Data_Table[[#This Row],[Attribute Fail Rate PF]]="Fail",Data_Table[[#This Row],[Ticket ID]],"")</f>
        <v/>
      </c>
      <c r="AO61" s="5" t="str" cm="1">
        <f t="array" ref="AO61">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62" spans="1:41" ht="15" customHeight="1" x14ac:dyDescent="0.25">
      <c r="A62" s="10">
        <v>44871</v>
      </c>
      <c r="B62" s="1" t="s">
        <v>6</v>
      </c>
      <c r="C62" s="1">
        <f t="shared" si="1"/>
        <v>46</v>
      </c>
      <c r="D62" s="1">
        <f>MATCH(Data_Table[[#This Row],[Week]],_xlfn._xlws.SORT(_xlfn.UNIQUE(Data_Table[Week]),1,-1),0)</f>
        <v>2</v>
      </c>
      <c r="E62" s="1" t="str">
        <f>TEXT(Data_Table[[#This Row],[Date of the Ticket for Review]],"mmm")</f>
        <v>Nov</v>
      </c>
      <c r="F62" s="8">
        <v>882583</v>
      </c>
      <c r="G62" s="8" t="str">
        <f>VLOOKUP(F62,Agent_Table[],2,FALSE)</f>
        <v>Leandro Morais</v>
      </c>
      <c r="H62" s="8" t="str">
        <f>IFERROR(VLOOKUP(Data_Table[[#This Row],[Ticket ID]],Product_Table[],2,FALSE),"")</f>
        <v>Measurement</v>
      </c>
      <c r="I62" s="3" t="s">
        <v>2</v>
      </c>
      <c r="J62" s="8">
        <v>3</v>
      </c>
      <c r="K62" s="8">
        <v>3</v>
      </c>
      <c r="L62" s="8">
        <v>3</v>
      </c>
      <c r="M62" s="8">
        <v>3</v>
      </c>
      <c r="N62" s="8">
        <v>3</v>
      </c>
      <c r="O62" s="8">
        <v>3</v>
      </c>
      <c r="P62" s="8">
        <v>3</v>
      </c>
      <c r="Q62" s="8">
        <v>3</v>
      </c>
      <c r="R62" s="5" t="s">
        <v>3</v>
      </c>
      <c r="S62" s="5" t="str">
        <f>IF(MIN(Data_Table[[#This Row],[Grammar &amp; Syntax ]:[Quality of First Response]])&lt;=1,"Fail",IF(MIN(Data_Table[[#This Row],[Grammar &amp; Syntax ]:[Quality of First Response]])=2,"Neutral","Pass"))</f>
        <v>Pass</v>
      </c>
      <c r="T62" s="5" t="str">
        <f>IF(MIN(Data_Table[[#This Row],[Grammar &amp; Syntax ]:[Quality of First Response]])&lt;=1,"Fail",IF(MIN(Data_Table[[#This Row],[Grammar &amp; Syntax ]:[Quality of First Response]])=2,"Pass","Pass"))</f>
        <v>Pass</v>
      </c>
      <c r="U62" s="5">
        <f>IF(Data_Table[[#This Row],[Compliance Critical PF]]="Fail",1,0)</f>
        <v>0</v>
      </c>
      <c r="V62" s="5"/>
      <c r="W62" s="8">
        <v>3</v>
      </c>
      <c r="X62" s="8">
        <v>3</v>
      </c>
      <c r="Y62" s="8">
        <v>3</v>
      </c>
      <c r="Z62" s="8">
        <v>3</v>
      </c>
      <c r="AA62" s="1" t="s">
        <v>12</v>
      </c>
      <c r="AB62" s="8">
        <v>3</v>
      </c>
      <c r="AC62" s="8">
        <v>3</v>
      </c>
      <c r="AD62" s="8">
        <v>3</v>
      </c>
      <c r="AE62" s="1" t="s">
        <v>12</v>
      </c>
      <c r="AF62" s="7" t="s">
        <v>18</v>
      </c>
      <c r="AG62" s="7" t="str">
        <f>IF(MIN(Data_Table[[#This Row],[Priority Level]:[Effective escalation ]])&lt;=1,"Fail",IF(MIN(Data_Table[[#This Row],[Priority Level]:[Effective escalation ]])=2,"Neutral","Pass"))</f>
        <v>Pass</v>
      </c>
      <c r="AH62" s="2" t="str">
        <f>IF(MIN(Data_Table[[#This Row],[Priority Level]:[Effective escalation ]])&lt;=1,"Fail",IF(MIN(Data_Table[[#This Row],[Priority Level]:[Effective escalation ]])=2,"Pass","Pass"))</f>
        <v>Pass</v>
      </c>
      <c r="AI62" s="2" t="str">
        <f>IF(Data_Table[[#This Row],[Business Critical PF]]="Fail",1,"")</f>
        <v/>
      </c>
      <c r="AJ62" s="5"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62"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62" s="5" t="str">
        <f>IF(Data_Table[[#This Row],[Attribute Fail Rate PF]]="Fail",1,"")</f>
        <v/>
      </c>
      <c r="AM62" s="5">
        <f>1</f>
        <v>1</v>
      </c>
      <c r="AN62" s="5" t="str">
        <f>IF(Data_Table[[#This Row],[Attribute Fail Rate PF]]="Fail",Data_Table[[#This Row],[Ticket ID]],"")</f>
        <v/>
      </c>
      <c r="AO62" s="5" t="str" cm="1">
        <f t="array" ref="AO62">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63" spans="1:41" ht="15" customHeight="1" x14ac:dyDescent="0.25">
      <c r="A63" s="10">
        <v>44865</v>
      </c>
      <c r="B63" s="1" t="s">
        <v>6</v>
      </c>
      <c r="C63" s="1">
        <f t="shared" si="1"/>
        <v>45</v>
      </c>
      <c r="D63" s="1">
        <f>MATCH(Data_Table[[#This Row],[Week]],_xlfn._xlws.SORT(_xlfn.UNIQUE(Data_Table[Week]),1,-1),0)</f>
        <v>3</v>
      </c>
      <c r="E63" s="1" t="str">
        <f>TEXT(Data_Table[[#This Row],[Date of the Ticket for Review]],"mmm")</f>
        <v>Oct</v>
      </c>
      <c r="F63" s="8">
        <v>874600</v>
      </c>
      <c r="G63" s="8" t="str">
        <f>VLOOKUP(F63,Agent_Table[],2,FALSE)</f>
        <v>Elijah Cummings</v>
      </c>
      <c r="H63" s="8" t="str">
        <f>IFERROR(VLOOKUP(Data_Table[[#This Row],[Ticket ID]],Product_Table[],2,FALSE),"")</f>
        <v>Measurement</v>
      </c>
      <c r="I63" s="3" t="s">
        <v>2</v>
      </c>
      <c r="J63" s="8">
        <v>3</v>
      </c>
      <c r="K63" s="8">
        <v>3</v>
      </c>
      <c r="L63" s="8">
        <v>3</v>
      </c>
      <c r="M63" s="8">
        <v>3</v>
      </c>
      <c r="N63" s="8">
        <v>3</v>
      </c>
      <c r="O63" s="8">
        <v>3</v>
      </c>
      <c r="P63" s="8">
        <v>3</v>
      </c>
      <c r="Q63" s="8">
        <v>3</v>
      </c>
      <c r="R63" s="5" t="s">
        <v>3</v>
      </c>
      <c r="S63" s="5" t="str">
        <f>IF(MIN(Data_Table[[#This Row],[Grammar &amp; Syntax ]:[Quality of First Response]])&lt;=1,"Fail",IF(MIN(Data_Table[[#This Row],[Grammar &amp; Syntax ]:[Quality of First Response]])=2,"Neutral","Pass"))</f>
        <v>Pass</v>
      </c>
      <c r="T63" s="5" t="str">
        <f>IF(MIN(Data_Table[[#This Row],[Grammar &amp; Syntax ]:[Quality of First Response]])&lt;=1,"Fail",IF(MIN(Data_Table[[#This Row],[Grammar &amp; Syntax ]:[Quality of First Response]])=2,"Pass","Pass"))</f>
        <v>Pass</v>
      </c>
      <c r="U63" s="5">
        <f>IF(Data_Table[[#This Row],[Compliance Critical PF]]="Fail",1,0)</f>
        <v>0</v>
      </c>
      <c r="V63" s="5"/>
      <c r="W63" s="1" t="s">
        <v>12</v>
      </c>
      <c r="X63" s="8">
        <v>3</v>
      </c>
      <c r="Y63" s="8">
        <v>3</v>
      </c>
      <c r="Z63" s="8">
        <v>2</v>
      </c>
      <c r="AA63" s="1" t="s">
        <v>12</v>
      </c>
      <c r="AB63" s="1" t="s">
        <v>12</v>
      </c>
      <c r="AC63" s="8">
        <v>3</v>
      </c>
      <c r="AD63" s="8">
        <v>3</v>
      </c>
      <c r="AE63" s="1" t="s">
        <v>12</v>
      </c>
      <c r="AF63" s="7" t="s">
        <v>15</v>
      </c>
      <c r="AG63" s="7" t="str">
        <f>IF(MIN(Data_Table[[#This Row],[Priority Level]:[Effective escalation ]])&lt;=1,"Fail",IF(MIN(Data_Table[[#This Row],[Priority Level]:[Effective escalation ]])=2,"Neutral","Pass"))</f>
        <v>Neutral</v>
      </c>
      <c r="AH63" s="2" t="str">
        <f>IF(MIN(Data_Table[[#This Row],[Priority Level]:[Effective escalation ]])&lt;=1,"Fail",IF(MIN(Data_Table[[#This Row],[Priority Level]:[Effective escalation ]])=2,"Pass","Pass"))</f>
        <v>Pass</v>
      </c>
      <c r="AI63" s="2" t="str">
        <f>IF(Data_Table[[#This Row],[Business Critical PF]]="Fail",1,"")</f>
        <v/>
      </c>
      <c r="AJ63" s="5" t="str">
        <f>IF(MIN(Data_Table[[#This Row],[Grammar &amp; Syntax ]:[Quality of First Response]],Data_Table[[#This Row],[Priority Level]:[Effective escalation ]])&lt;=1,"Fail",IF(MIN(Data_Table[[#This Row],[Grammar &amp; Syntax ]:[Quality of First Response]],Data_Table[[#This Row],[Priority Level]:[Effective escalation ]])=2,"Neutral","Pass"))</f>
        <v>Neutral</v>
      </c>
      <c r="AK63"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63" s="5" t="str">
        <f>IF(Data_Table[[#This Row],[Attribute Fail Rate PF]]="Fail",1,"")</f>
        <v/>
      </c>
      <c r="AM63" s="5">
        <f>1</f>
        <v>1</v>
      </c>
      <c r="AN63" s="5" t="str">
        <f>IF(Data_Table[[#This Row],[Attribute Fail Rate PF]]="Fail",Data_Table[[#This Row],[Ticket ID]],"")</f>
        <v/>
      </c>
      <c r="AO63" s="5" t="str" cm="1">
        <f t="array" ref="AO63">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64" spans="1:41" ht="15" customHeight="1" x14ac:dyDescent="0.25">
      <c r="A64" s="10">
        <v>44865</v>
      </c>
      <c r="B64" s="1" t="s">
        <v>6</v>
      </c>
      <c r="C64" s="1">
        <f t="shared" si="1"/>
        <v>45</v>
      </c>
      <c r="D64" s="1">
        <f>MATCH(Data_Table[[#This Row],[Week]],_xlfn._xlws.SORT(_xlfn.UNIQUE(Data_Table[Week]),1,-1),0)</f>
        <v>3</v>
      </c>
      <c r="E64" s="1" t="str">
        <f>TEXT(Data_Table[[#This Row],[Date of the Ticket for Review]],"mmm")</f>
        <v>Oct</v>
      </c>
      <c r="F64" s="8">
        <v>874632</v>
      </c>
      <c r="G64" s="8" t="str">
        <f>VLOOKUP(F64,Agent_Table[],2,FALSE)</f>
        <v>Elijah Cummings</v>
      </c>
      <c r="H64" s="8" t="str">
        <f>IFERROR(VLOOKUP(Data_Table[[#This Row],[Ticket ID]],Product_Table[],2,FALSE),"")</f>
        <v>Measurement</v>
      </c>
      <c r="I64" s="3" t="s">
        <v>2</v>
      </c>
      <c r="J64" s="8">
        <v>3</v>
      </c>
      <c r="K64" s="8">
        <v>3</v>
      </c>
      <c r="L64" s="8">
        <v>3</v>
      </c>
      <c r="M64" s="8">
        <v>3</v>
      </c>
      <c r="N64" s="8">
        <v>3</v>
      </c>
      <c r="O64" s="8">
        <v>3</v>
      </c>
      <c r="P64" s="8">
        <v>3</v>
      </c>
      <c r="Q64" s="8">
        <v>3</v>
      </c>
      <c r="R64" s="5" t="s">
        <v>3</v>
      </c>
      <c r="S64" s="5" t="str">
        <f>IF(MIN(Data_Table[[#This Row],[Grammar &amp; Syntax ]:[Quality of First Response]])&lt;=1,"Fail",IF(MIN(Data_Table[[#This Row],[Grammar &amp; Syntax ]:[Quality of First Response]])=2,"Neutral","Pass"))</f>
        <v>Pass</v>
      </c>
      <c r="T64" s="5" t="str">
        <f>IF(MIN(Data_Table[[#This Row],[Grammar &amp; Syntax ]:[Quality of First Response]])&lt;=1,"Fail",IF(MIN(Data_Table[[#This Row],[Grammar &amp; Syntax ]:[Quality of First Response]])=2,"Pass","Pass"))</f>
        <v>Pass</v>
      </c>
      <c r="U64" s="5">
        <f>IF(Data_Table[[#This Row],[Compliance Critical PF]]="Fail",1,0)</f>
        <v>0</v>
      </c>
      <c r="V64" s="5"/>
      <c r="W64" s="1" t="s">
        <v>12</v>
      </c>
      <c r="X64" s="8">
        <v>3</v>
      </c>
      <c r="Y64" s="8">
        <v>2</v>
      </c>
      <c r="Z64" s="8">
        <v>1</v>
      </c>
      <c r="AA64" s="1" t="s">
        <v>12</v>
      </c>
      <c r="AB64" s="8">
        <v>3</v>
      </c>
      <c r="AC64" s="8">
        <v>3</v>
      </c>
      <c r="AD64" s="8">
        <v>1</v>
      </c>
      <c r="AE64" s="1" t="s">
        <v>12</v>
      </c>
      <c r="AF64" s="7" t="s">
        <v>19</v>
      </c>
      <c r="AG64" s="7" t="str">
        <f>IF(MIN(Data_Table[[#This Row],[Priority Level]:[Effective escalation ]])&lt;=1,"Fail",IF(MIN(Data_Table[[#This Row],[Priority Level]:[Effective escalation ]])=2,"Neutral","Pass"))</f>
        <v>Fail</v>
      </c>
      <c r="AH64" s="2" t="str">
        <f>IF(MIN(Data_Table[[#This Row],[Priority Level]:[Effective escalation ]])&lt;=1,"Fail",IF(MIN(Data_Table[[#This Row],[Priority Level]:[Effective escalation ]])=2,"Pass","Pass"))</f>
        <v>Fail</v>
      </c>
      <c r="AI64" s="2">
        <f>IF(Data_Table[[#This Row],[Business Critical PF]]="Fail",1,"")</f>
        <v>1</v>
      </c>
      <c r="AJ64" s="5" t="str">
        <f>IF(MIN(Data_Table[[#This Row],[Grammar &amp; Syntax ]:[Quality of First Response]],Data_Table[[#This Row],[Priority Level]:[Effective escalation ]])&lt;=1,"Fail",IF(MIN(Data_Table[[#This Row],[Grammar &amp; Syntax ]:[Quality of First Response]],Data_Table[[#This Row],[Priority Level]:[Effective escalation ]])=2,"Neutral","Pass"))</f>
        <v>Fail</v>
      </c>
      <c r="AK64" s="5" t="str">
        <f>IF(MIN(Data_Table[[#This Row],[Grammar &amp; Syntax ]:[Quality of First Response]],Data_Table[[#This Row],[Priority Level]:[Effective escalation ]])&lt;=1,"Fail",IF(MIN(Data_Table[[#This Row],[Grammar &amp; Syntax ]:[Quality of First Response]],Data_Table[[#This Row],[Priority Level]:[Effective escalation ]])=2,"Pass","Pass"))</f>
        <v>Fail</v>
      </c>
      <c r="AL64" s="5">
        <f>IF(Data_Table[[#This Row],[Attribute Fail Rate PF]]="Fail",1,"")</f>
        <v>1</v>
      </c>
      <c r="AM64" s="5">
        <f>1</f>
        <v>1</v>
      </c>
      <c r="AN64" s="5">
        <f>IF(Data_Table[[#This Row],[Attribute Fail Rate PF]]="Fail",Data_Table[[#This Row],[Ticket ID]],"")</f>
        <v>874632</v>
      </c>
      <c r="AO64" s="5" t="str" cm="1">
        <f t="array" ref="AO64">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Effective Inquiry , Resolution time</v>
      </c>
    </row>
    <row r="65" spans="1:41" ht="15" customHeight="1" x14ac:dyDescent="0.25">
      <c r="A65" s="10">
        <v>44868</v>
      </c>
      <c r="B65" s="1" t="s">
        <v>6</v>
      </c>
      <c r="C65" s="1">
        <f t="shared" si="1"/>
        <v>45</v>
      </c>
      <c r="D65" s="1">
        <f>MATCH(Data_Table[[#This Row],[Week]],_xlfn._xlws.SORT(_xlfn.UNIQUE(Data_Table[Week]),1,-1),0)</f>
        <v>3</v>
      </c>
      <c r="E65" s="1" t="str">
        <f>TEXT(Data_Table[[#This Row],[Date of the Ticket for Review]],"mmm")</f>
        <v>Nov</v>
      </c>
      <c r="F65" s="8">
        <v>878394</v>
      </c>
      <c r="G65" s="8" t="str">
        <f>VLOOKUP(F65,Agent_Table[],2,FALSE)</f>
        <v>Bonnie Williams</v>
      </c>
      <c r="H65" s="8" t="str">
        <f>IFERROR(VLOOKUP(Data_Table[[#This Row],[Ticket ID]],Product_Table[],2,FALSE),"")</f>
        <v>Measurement</v>
      </c>
      <c r="I65" s="3" t="s">
        <v>2</v>
      </c>
      <c r="J65" s="8">
        <v>3</v>
      </c>
      <c r="K65" s="8">
        <v>3</v>
      </c>
      <c r="L65" s="8">
        <v>3</v>
      </c>
      <c r="M65" s="8">
        <v>3</v>
      </c>
      <c r="N65" s="8">
        <v>3</v>
      </c>
      <c r="O65" s="8">
        <v>3</v>
      </c>
      <c r="P65" s="8">
        <v>3</v>
      </c>
      <c r="Q65" s="8">
        <v>3</v>
      </c>
      <c r="R65" s="5" t="s">
        <v>3</v>
      </c>
      <c r="S65" s="5" t="str">
        <f>IF(MIN(Data_Table[[#This Row],[Grammar &amp; Syntax ]:[Quality of First Response]])&lt;=1,"Fail",IF(MIN(Data_Table[[#This Row],[Grammar &amp; Syntax ]:[Quality of First Response]])=2,"Neutral","Pass"))</f>
        <v>Pass</v>
      </c>
      <c r="T65" s="5" t="str">
        <f>IF(MIN(Data_Table[[#This Row],[Grammar &amp; Syntax ]:[Quality of First Response]])&lt;=1,"Fail",IF(MIN(Data_Table[[#This Row],[Grammar &amp; Syntax ]:[Quality of First Response]])=2,"Pass","Pass"))</f>
        <v>Pass</v>
      </c>
      <c r="U65" s="5">
        <f>IF(Data_Table[[#This Row],[Compliance Critical PF]]="Fail",1,0)</f>
        <v>0</v>
      </c>
      <c r="V65" s="5"/>
      <c r="W65" s="1" t="s">
        <v>12</v>
      </c>
      <c r="X65" s="8">
        <v>3</v>
      </c>
      <c r="Y65" s="8">
        <v>2</v>
      </c>
      <c r="Z65" s="8">
        <v>3</v>
      </c>
      <c r="AA65" s="1" t="s">
        <v>12</v>
      </c>
      <c r="AB65" s="8">
        <v>3</v>
      </c>
      <c r="AC65" s="8">
        <v>3</v>
      </c>
      <c r="AD65" s="8">
        <v>2</v>
      </c>
      <c r="AE65" s="1" t="s">
        <v>12</v>
      </c>
      <c r="AF65" s="7" t="s">
        <v>15</v>
      </c>
      <c r="AG65" s="7" t="str">
        <f>IF(MIN(Data_Table[[#This Row],[Priority Level]:[Effective escalation ]])&lt;=1,"Fail",IF(MIN(Data_Table[[#This Row],[Priority Level]:[Effective escalation ]])=2,"Neutral","Pass"))</f>
        <v>Neutral</v>
      </c>
      <c r="AH65" s="2" t="str">
        <f>IF(MIN(Data_Table[[#This Row],[Priority Level]:[Effective escalation ]])&lt;=1,"Fail",IF(MIN(Data_Table[[#This Row],[Priority Level]:[Effective escalation ]])=2,"Pass","Pass"))</f>
        <v>Pass</v>
      </c>
      <c r="AI65" s="2" t="str">
        <f>IF(Data_Table[[#This Row],[Business Critical PF]]="Fail",1,"")</f>
        <v/>
      </c>
      <c r="AJ65" s="5" t="str">
        <f>IF(MIN(Data_Table[[#This Row],[Grammar &amp; Syntax ]:[Quality of First Response]],Data_Table[[#This Row],[Priority Level]:[Effective escalation ]])&lt;=1,"Fail",IF(MIN(Data_Table[[#This Row],[Grammar &amp; Syntax ]:[Quality of First Response]],Data_Table[[#This Row],[Priority Level]:[Effective escalation ]])=2,"Neutral","Pass"))</f>
        <v>Neutral</v>
      </c>
      <c r="AK65"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65" s="5" t="str">
        <f>IF(Data_Table[[#This Row],[Attribute Fail Rate PF]]="Fail",1,"")</f>
        <v/>
      </c>
      <c r="AM65" s="5">
        <f>1</f>
        <v>1</v>
      </c>
      <c r="AN65" s="5" t="str">
        <f>IF(Data_Table[[#This Row],[Attribute Fail Rate PF]]="Fail",Data_Table[[#This Row],[Ticket ID]],"")</f>
        <v/>
      </c>
      <c r="AO65" s="5" t="str" cm="1">
        <f t="array" ref="AO65">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66" spans="1:41" ht="15" customHeight="1" x14ac:dyDescent="0.25">
      <c r="A66" s="10">
        <v>44868</v>
      </c>
      <c r="B66" s="1" t="s">
        <v>6</v>
      </c>
      <c r="C66" s="1">
        <f t="shared" ref="C66:C97" si="2">WEEKNUM(A66)</f>
        <v>45</v>
      </c>
      <c r="D66" s="1">
        <f>MATCH(Data_Table[[#This Row],[Week]],_xlfn._xlws.SORT(_xlfn.UNIQUE(Data_Table[Week]),1,-1),0)</f>
        <v>3</v>
      </c>
      <c r="E66" s="1" t="str">
        <f>TEXT(Data_Table[[#This Row],[Date of the Ticket for Review]],"mmm")</f>
        <v>Nov</v>
      </c>
      <c r="F66" s="8">
        <v>878607</v>
      </c>
      <c r="G66" s="8" t="str">
        <f>VLOOKUP(F66,Agent_Table[],2,FALSE)</f>
        <v>Bonnie Williams</v>
      </c>
      <c r="H66" s="8" t="str">
        <f>IFERROR(VLOOKUP(Data_Table[[#This Row],[Ticket ID]],Product_Table[],2,FALSE),"")</f>
        <v>Measurement</v>
      </c>
      <c r="I66" s="3" t="s">
        <v>2</v>
      </c>
      <c r="J66" s="8">
        <v>3</v>
      </c>
      <c r="K66" s="8">
        <v>3</v>
      </c>
      <c r="L66" s="8">
        <v>3</v>
      </c>
      <c r="M66" s="8">
        <v>3</v>
      </c>
      <c r="N66" s="8">
        <v>3</v>
      </c>
      <c r="O66" s="8">
        <v>3</v>
      </c>
      <c r="P66" s="8">
        <v>3</v>
      </c>
      <c r="Q66" s="8">
        <v>3</v>
      </c>
      <c r="R66" s="5" t="s">
        <v>3</v>
      </c>
      <c r="S66" s="5" t="str">
        <f>IF(MIN(Data_Table[[#This Row],[Grammar &amp; Syntax ]:[Quality of First Response]])&lt;=1,"Fail",IF(MIN(Data_Table[[#This Row],[Grammar &amp; Syntax ]:[Quality of First Response]])=2,"Neutral","Pass"))</f>
        <v>Pass</v>
      </c>
      <c r="T66" s="5" t="str">
        <f>IF(MIN(Data_Table[[#This Row],[Grammar &amp; Syntax ]:[Quality of First Response]])&lt;=1,"Fail",IF(MIN(Data_Table[[#This Row],[Grammar &amp; Syntax ]:[Quality of First Response]])=2,"Pass","Pass"))</f>
        <v>Pass</v>
      </c>
      <c r="U66" s="5">
        <f>IF(Data_Table[[#This Row],[Compliance Critical PF]]="Fail",1,0)</f>
        <v>0</v>
      </c>
      <c r="V66" s="5"/>
      <c r="W66" s="8">
        <v>3</v>
      </c>
      <c r="X66" s="8">
        <v>3</v>
      </c>
      <c r="Y66" s="8">
        <v>3</v>
      </c>
      <c r="Z66" s="8">
        <v>2</v>
      </c>
      <c r="AA66" s="1" t="s">
        <v>12</v>
      </c>
      <c r="AB66" s="8">
        <v>2</v>
      </c>
      <c r="AC66" s="8">
        <v>3</v>
      </c>
      <c r="AD66" s="8">
        <v>1</v>
      </c>
      <c r="AE66" s="1" t="s">
        <v>12</v>
      </c>
      <c r="AF66" s="7" t="s">
        <v>20</v>
      </c>
      <c r="AG66" s="7" t="str">
        <f>IF(MIN(Data_Table[[#This Row],[Priority Level]:[Effective escalation ]])&lt;=1,"Fail",IF(MIN(Data_Table[[#This Row],[Priority Level]:[Effective escalation ]])=2,"Neutral","Pass"))</f>
        <v>Fail</v>
      </c>
      <c r="AH66" s="2" t="str">
        <f>IF(MIN(Data_Table[[#This Row],[Priority Level]:[Effective escalation ]])&lt;=1,"Fail",IF(MIN(Data_Table[[#This Row],[Priority Level]:[Effective escalation ]])=2,"Pass","Pass"))</f>
        <v>Fail</v>
      </c>
      <c r="AI66" s="2">
        <f>IF(Data_Table[[#This Row],[Business Critical PF]]="Fail",1,"")</f>
        <v>1</v>
      </c>
      <c r="AJ66" s="5" t="str">
        <f>IF(MIN(Data_Table[[#This Row],[Grammar &amp; Syntax ]:[Quality of First Response]],Data_Table[[#This Row],[Priority Level]:[Effective escalation ]])&lt;=1,"Fail",IF(MIN(Data_Table[[#This Row],[Grammar &amp; Syntax ]:[Quality of First Response]],Data_Table[[#This Row],[Priority Level]:[Effective escalation ]])=2,"Neutral","Pass"))</f>
        <v>Fail</v>
      </c>
      <c r="AK66" s="5" t="str">
        <f>IF(MIN(Data_Table[[#This Row],[Grammar &amp; Syntax ]:[Quality of First Response]],Data_Table[[#This Row],[Priority Level]:[Effective escalation ]])&lt;=1,"Fail",IF(MIN(Data_Table[[#This Row],[Grammar &amp; Syntax ]:[Quality of First Response]],Data_Table[[#This Row],[Priority Level]:[Effective escalation ]])=2,"Pass","Pass"))</f>
        <v>Fail</v>
      </c>
      <c r="AL66" s="5">
        <f>IF(Data_Table[[#This Row],[Attribute Fail Rate PF]]="Fail",1,"")</f>
        <v>1</v>
      </c>
      <c r="AM66" s="5">
        <f>1</f>
        <v>1</v>
      </c>
      <c r="AN66" s="5">
        <f>IF(Data_Table[[#This Row],[Attribute Fail Rate PF]]="Fail",Data_Table[[#This Row],[Ticket ID]],"")</f>
        <v>878607</v>
      </c>
      <c r="AO66" s="5" t="str" cm="1">
        <f t="array" ref="AO66">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Resolution time</v>
      </c>
    </row>
    <row r="67" spans="1:41" ht="15" customHeight="1" x14ac:dyDescent="0.25">
      <c r="A67" s="10">
        <v>44865</v>
      </c>
      <c r="B67" s="1" t="s">
        <v>6</v>
      </c>
      <c r="C67" s="1">
        <f t="shared" si="2"/>
        <v>45</v>
      </c>
      <c r="D67" s="1">
        <f>MATCH(Data_Table[[#This Row],[Week]],_xlfn._xlws.SORT(_xlfn.UNIQUE(Data_Table[Week]),1,-1),0)</f>
        <v>3</v>
      </c>
      <c r="E67" s="1" t="str">
        <f>TEXT(Data_Table[[#This Row],[Date of the Ticket for Review]],"mmm")</f>
        <v>Oct</v>
      </c>
      <c r="F67" s="8">
        <v>873957</v>
      </c>
      <c r="G67" s="8" t="str">
        <f>VLOOKUP(F67,Agent_Table[],2,FALSE)</f>
        <v>Deniece Inda</v>
      </c>
      <c r="H67" s="8" t="str">
        <f>IFERROR(VLOOKUP(Data_Table[[#This Row],[Ticket ID]],Product_Table[],2,FALSE),"")</f>
        <v>Performance &amp; Delivery</v>
      </c>
      <c r="I67" s="3" t="s">
        <v>2</v>
      </c>
      <c r="J67" s="8">
        <v>3</v>
      </c>
      <c r="K67" s="8">
        <v>3</v>
      </c>
      <c r="L67" s="8">
        <v>3</v>
      </c>
      <c r="M67" s="8">
        <v>3</v>
      </c>
      <c r="N67" s="8">
        <v>3</v>
      </c>
      <c r="O67" s="8">
        <v>3</v>
      </c>
      <c r="P67" s="8">
        <v>3</v>
      </c>
      <c r="Q67" s="8">
        <v>3</v>
      </c>
      <c r="R67" s="5" t="s">
        <v>3</v>
      </c>
      <c r="S67" s="5" t="str">
        <f>IF(MIN(Data_Table[[#This Row],[Grammar &amp; Syntax ]:[Quality of First Response]])&lt;=1,"Fail",IF(MIN(Data_Table[[#This Row],[Grammar &amp; Syntax ]:[Quality of First Response]])=2,"Neutral","Pass"))</f>
        <v>Pass</v>
      </c>
      <c r="T67" s="5" t="str">
        <f>IF(MIN(Data_Table[[#This Row],[Grammar &amp; Syntax ]:[Quality of First Response]])&lt;=1,"Fail",IF(MIN(Data_Table[[#This Row],[Grammar &amp; Syntax ]:[Quality of First Response]])=2,"Pass","Pass"))</f>
        <v>Pass</v>
      </c>
      <c r="U67" s="5">
        <f>IF(Data_Table[[#This Row],[Compliance Critical PF]]="Fail",1,0)</f>
        <v>0</v>
      </c>
      <c r="V67" s="5"/>
      <c r="W67" s="8">
        <v>2</v>
      </c>
      <c r="X67" s="8">
        <v>3</v>
      </c>
      <c r="Y67" s="8">
        <v>3</v>
      </c>
      <c r="Z67" s="8">
        <v>3</v>
      </c>
      <c r="AA67" s="1" t="s">
        <v>12</v>
      </c>
      <c r="AB67" s="8">
        <v>3</v>
      </c>
      <c r="AC67" s="8">
        <v>3</v>
      </c>
      <c r="AD67" s="8">
        <v>3</v>
      </c>
      <c r="AE67" s="1" t="s">
        <v>12</v>
      </c>
      <c r="AF67" s="7" t="s">
        <v>21</v>
      </c>
      <c r="AG67" s="7" t="str">
        <f>IF(MIN(Data_Table[[#This Row],[Priority Level]:[Effective escalation ]])&lt;=1,"Fail",IF(MIN(Data_Table[[#This Row],[Priority Level]:[Effective escalation ]])=2,"Neutral","Pass"))</f>
        <v>Neutral</v>
      </c>
      <c r="AH67" s="2" t="str">
        <f>IF(MIN(Data_Table[[#This Row],[Priority Level]:[Effective escalation ]])&lt;=1,"Fail",IF(MIN(Data_Table[[#This Row],[Priority Level]:[Effective escalation ]])=2,"Pass","Pass"))</f>
        <v>Pass</v>
      </c>
      <c r="AI67" s="2" t="str">
        <f>IF(Data_Table[[#This Row],[Business Critical PF]]="Fail",1,"")</f>
        <v/>
      </c>
      <c r="AJ67" s="5" t="str">
        <f>IF(MIN(Data_Table[[#This Row],[Grammar &amp; Syntax ]:[Quality of First Response]],Data_Table[[#This Row],[Priority Level]:[Effective escalation ]])&lt;=1,"Fail",IF(MIN(Data_Table[[#This Row],[Grammar &amp; Syntax ]:[Quality of First Response]],Data_Table[[#This Row],[Priority Level]:[Effective escalation ]])=2,"Neutral","Pass"))</f>
        <v>Neutral</v>
      </c>
      <c r="AK67"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67" s="5" t="str">
        <f>IF(Data_Table[[#This Row],[Attribute Fail Rate PF]]="Fail",1,"")</f>
        <v/>
      </c>
      <c r="AM67" s="5">
        <f>1</f>
        <v>1</v>
      </c>
      <c r="AN67" s="5" t="str">
        <f>IF(Data_Table[[#This Row],[Attribute Fail Rate PF]]="Fail",Data_Table[[#This Row],[Ticket ID]],"")</f>
        <v/>
      </c>
      <c r="AO67" s="5" t="str" cm="1">
        <f t="array" ref="AO67">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68" spans="1:41" ht="15" customHeight="1" x14ac:dyDescent="0.25">
      <c r="A68" s="10">
        <v>44868</v>
      </c>
      <c r="B68" s="1" t="s">
        <v>6</v>
      </c>
      <c r="C68" s="1">
        <f t="shared" si="2"/>
        <v>45</v>
      </c>
      <c r="D68" s="1">
        <f>MATCH(Data_Table[[#This Row],[Week]],_xlfn._xlws.SORT(_xlfn.UNIQUE(Data_Table[Week]),1,-1),0)</f>
        <v>3</v>
      </c>
      <c r="E68" s="1" t="str">
        <f>TEXT(Data_Table[[#This Row],[Date of the Ticket for Review]],"mmm")</f>
        <v>Nov</v>
      </c>
      <c r="F68" s="8">
        <v>878541</v>
      </c>
      <c r="G68" s="8" t="str">
        <f>VLOOKUP(F68,Agent_Table[],2,FALSE)</f>
        <v>Deniece Inda</v>
      </c>
      <c r="H68" s="8" t="str">
        <f>IFERROR(VLOOKUP(Data_Table[[#This Row],[Ticket ID]],Product_Table[],2,FALSE),"")</f>
        <v>Performance &amp; Delivery</v>
      </c>
      <c r="I68" s="3" t="s">
        <v>2</v>
      </c>
      <c r="J68" s="8">
        <v>3</v>
      </c>
      <c r="K68" s="8">
        <v>3</v>
      </c>
      <c r="L68" s="8">
        <v>3</v>
      </c>
      <c r="M68" s="8">
        <v>3</v>
      </c>
      <c r="N68" s="8">
        <v>3</v>
      </c>
      <c r="O68" s="8">
        <v>3</v>
      </c>
      <c r="P68" s="8">
        <v>3</v>
      </c>
      <c r="Q68" s="8">
        <v>3</v>
      </c>
      <c r="R68" s="5" t="s">
        <v>3</v>
      </c>
      <c r="S68" s="5" t="str">
        <f>IF(MIN(Data_Table[[#This Row],[Grammar &amp; Syntax ]:[Quality of First Response]])&lt;=1,"Fail",IF(MIN(Data_Table[[#This Row],[Grammar &amp; Syntax ]:[Quality of First Response]])=2,"Neutral","Pass"))</f>
        <v>Pass</v>
      </c>
      <c r="T68" s="5" t="str">
        <f>IF(MIN(Data_Table[[#This Row],[Grammar &amp; Syntax ]:[Quality of First Response]])&lt;=1,"Fail",IF(MIN(Data_Table[[#This Row],[Grammar &amp; Syntax ]:[Quality of First Response]])=2,"Pass","Pass"))</f>
        <v>Pass</v>
      </c>
      <c r="U68" s="5">
        <f>IF(Data_Table[[#This Row],[Compliance Critical PF]]="Fail",1,0)</f>
        <v>0</v>
      </c>
      <c r="V68" s="5"/>
      <c r="W68" s="8">
        <v>3</v>
      </c>
      <c r="X68" s="8">
        <v>3</v>
      </c>
      <c r="Y68" s="8">
        <v>3</v>
      </c>
      <c r="Z68" s="8">
        <v>3</v>
      </c>
      <c r="AA68" s="1" t="s">
        <v>12</v>
      </c>
      <c r="AB68" s="8">
        <v>3</v>
      </c>
      <c r="AC68" s="8">
        <v>3</v>
      </c>
      <c r="AD68" s="8">
        <v>1</v>
      </c>
      <c r="AE68" s="1" t="s">
        <v>12</v>
      </c>
      <c r="AF68" s="7" t="s">
        <v>22</v>
      </c>
      <c r="AG68" s="7" t="str">
        <f>IF(MIN(Data_Table[[#This Row],[Priority Level]:[Effective escalation ]])&lt;=1,"Fail",IF(MIN(Data_Table[[#This Row],[Priority Level]:[Effective escalation ]])=2,"Neutral","Pass"))</f>
        <v>Fail</v>
      </c>
      <c r="AH68" s="2" t="str">
        <f>IF(MIN(Data_Table[[#This Row],[Priority Level]:[Effective escalation ]])&lt;=1,"Fail",IF(MIN(Data_Table[[#This Row],[Priority Level]:[Effective escalation ]])=2,"Pass","Pass"))</f>
        <v>Fail</v>
      </c>
      <c r="AI68" s="2">
        <f>IF(Data_Table[[#This Row],[Business Critical PF]]="Fail",1,"")</f>
        <v>1</v>
      </c>
      <c r="AJ68" s="5" t="str">
        <f>IF(MIN(Data_Table[[#This Row],[Grammar &amp; Syntax ]:[Quality of First Response]],Data_Table[[#This Row],[Priority Level]:[Effective escalation ]])&lt;=1,"Fail",IF(MIN(Data_Table[[#This Row],[Grammar &amp; Syntax ]:[Quality of First Response]],Data_Table[[#This Row],[Priority Level]:[Effective escalation ]])=2,"Neutral","Pass"))</f>
        <v>Fail</v>
      </c>
      <c r="AK68" s="5" t="str">
        <f>IF(MIN(Data_Table[[#This Row],[Grammar &amp; Syntax ]:[Quality of First Response]],Data_Table[[#This Row],[Priority Level]:[Effective escalation ]])&lt;=1,"Fail",IF(MIN(Data_Table[[#This Row],[Grammar &amp; Syntax ]:[Quality of First Response]],Data_Table[[#This Row],[Priority Level]:[Effective escalation ]])=2,"Pass","Pass"))</f>
        <v>Fail</v>
      </c>
      <c r="AL68" s="5">
        <f>IF(Data_Table[[#This Row],[Attribute Fail Rate PF]]="Fail",1,"")</f>
        <v>1</v>
      </c>
      <c r="AM68" s="5">
        <f>1</f>
        <v>1</v>
      </c>
      <c r="AN68" s="5">
        <f>IF(Data_Table[[#This Row],[Attribute Fail Rate PF]]="Fail",Data_Table[[#This Row],[Ticket ID]],"")</f>
        <v>878541</v>
      </c>
      <c r="AO68" s="5" t="str" cm="1">
        <f t="array" ref="AO68">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Resolution time</v>
      </c>
    </row>
    <row r="69" spans="1:41" ht="15" customHeight="1" x14ac:dyDescent="0.25">
      <c r="A69" s="10">
        <v>44868</v>
      </c>
      <c r="B69" s="1" t="s">
        <v>6</v>
      </c>
      <c r="C69" s="1">
        <f t="shared" si="2"/>
        <v>45</v>
      </c>
      <c r="D69" s="1">
        <f>MATCH(Data_Table[[#This Row],[Week]],_xlfn._xlws.SORT(_xlfn.UNIQUE(Data_Table[Week]),1,-1),0)</f>
        <v>3</v>
      </c>
      <c r="E69" s="1" t="str">
        <f>TEXT(Data_Table[[#This Row],[Date of the Ticket for Review]],"mmm")</f>
        <v>Nov</v>
      </c>
      <c r="F69" s="8">
        <v>879538</v>
      </c>
      <c r="G69" s="8" t="str">
        <f>VLOOKUP(F69,Agent_Table[],2,FALSE)</f>
        <v>Samantha Rodriguez</v>
      </c>
      <c r="H69" s="8" t="str">
        <f>IFERROR(VLOOKUP(Data_Table[[#This Row],[Ticket ID]],Product_Table[],2,FALSE),"")</f>
        <v>Platforms &amp; API</v>
      </c>
      <c r="I69" s="3" t="s">
        <v>2</v>
      </c>
      <c r="J69" s="8">
        <v>3</v>
      </c>
      <c r="K69" s="8">
        <v>3</v>
      </c>
      <c r="L69" s="8">
        <v>3</v>
      </c>
      <c r="M69" s="8">
        <v>3</v>
      </c>
      <c r="N69" s="8">
        <v>3</v>
      </c>
      <c r="O69" s="8">
        <v>3</v>
      </c>
      <c r="P69" s="8">
        <v>3</v>
      </c>
      <c r="Q69" s="8">
        <v>3</v>
      </c>
      <c r="R69" s="5" t="s">
        <v>3</v>
      </c>
      <c r="S69" s="5" t="str">
        <f>IF(MIN(Data_Table[[#This Row],[Grammar &amp; Syntax ]:[Quality of First Response]])&lt;=1,"Fail",IF(MIN(Data_Table[[#This Row],[Grammar &amp; Syntax ]:[Quality of First Response]])=2,"Neutral","Pass"))</f>
        <v>Pass</v>
      </c>
      <c r="T69" s="5" t="str">
        <f>IF(MIN(Data_Table[[#This Row],[Grammar &amp; Syntax ]:[Quality of First Response]])&lt;=1,"Fail",IF(MIN(Data_Table[[#This Row],[Grammar &amp; Syntax ]:[Quality of First Response]])=2,"Pass","Pass"))</f>
        <v>Pass</v>
      </c>
      <c r="U69" s="5">
        <f>IF(Data_Table[[#This Row],[Compliance Critical PF]]="Fail",1,0)</f>
        <v>0</v>
      </c>
      <c r="V69" s="5"/>
      <c r="W69" s="8">
        <v>3</v>
      </c>
      <c r="X69" s="8">
        <v>3</v>
      </c>
      <c r="Y69" s="8">
        <v>3</v>
      </c>
      <c r="Z69" s="8">
        <v>3</v>
      </c>
      <c r="AA69" s="1" t="s">
        <v>12</v>
      </c>
      <c r="AB69" s="8">
        <v>3</v>
      </c>
      <c r="AC69" s="8">
        <v>3</v>
      </c>
      <c r="AD69" s="8">
        <v>2</v>
      </c>
      <c r="AE69" s="1" t="s">
        <v>12</v>
      </c>
      <c r="AF69" s="7" t="s">
        <v>23</v>
      </c>
      <c r="AG69" s="7" t="str">
        <f>IF(MIN(Data_Table[[#This Row],[Priority Level]:[Effective escalation ]])&lt;=1,"Fail",IF(MIN(Data_Table[[#This Row],[Priority Level]:[Effective escalation ]])=2,"Neutral","Pass"))</f>
        <v>Neutral</v>
      </c>
      <c r="AH69" s="2" t="str">
        <f>IF(MIN(Data_Table[[#This Row],[Priority Level]:[Effective escalation ]])&lt;=1,"Fail",IF(MIN(Data_Table[[#This Row],[Priority Level]:[Effective escalation ]])=2,"Pass","Pass"))</f>
        <v>Pass</v>
      </c>
      <c r="AI69" s="2" t="str">
        <f>IF(Data_Table[[#This Row],[Business Critical PF]]="Fail",1,"")</f>
        <v/>
      </c>
      <c r="AJ69" s="5" t="str">
        <f>IF(MIN(Data_Table[[#This Row],[Grammar &amp; Syntax ]:[Quality of First Response]],Data_Table[[#This Row],[Priority Level]:[Effective escalation ]])&lt;=1,"Fail",IF(MIN(Data_Table[[#This Row],[Grammar &amp; Syntax ]:[Quality of First Response]],Data_Table[[#This Row],[Priority Level]:[Effective escalation ]])=2,"Neutral","Pass"))</f>
        <v>Neutral</v>
      </c>
      <c r="AK69"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69" s="5" t="str">
        <f>IF(Data_Table[[#This Row],[Attribute Fail Rate PF]]="Fail",1,"")</f>
        <v/>
      </c>
      <c r="AM69" s="5">
        <f>1</f>
        <v>1</v>
      </c>
      <c r="AN69" s="5" t="str">
        <f>IF(Data_Table[[#This Row],[Attribute Fail Rate PF]]="Fail",Data_Table[[#This Row],[Ticket ID]],"")</f>
        <v/>
      </c>
      <c r="AO69" s="5" t="str" cm="1">
        <f t="array" ref="AO69">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70" spans="1:41" ht="15" customHeight="1" x14ac:dyDescent="0.25">
      <c r="A70" s="10">
        <v>44868</v>
      </c>
      <c r="B70" s="1" t="s">
        <v>6</v>
      </c>
      <c r="C70" s="1">
        <f t="shared" si="2"/>
        <v>45</v>
      </c>
      <c r="D70" s="1">
        <f>MATCH(Data_Table[[#This Row],[Week]],_xlfn._xlws.SORT(_xlfn.UNIQUE(Data_Table[Week]),1,-1),0)</f>
        <v>3</v>
      </c>
      <c r="E70" s="1" t="str">
        <f>TEXT(Data_Table[[#This Row],[Date of the Ticket for Review]],"mmm")</f>
        <v>Nov</v>
      </c>
      <c r="F70" s="8">
        <v>878233</v>
      </c>
      <c r="G70" s="8" t="str">
        <f>VLOOKUP(F70,Agent_Table[],2,FALSE)</f>
        <v>Samantha Rodriguez</v>
      </c>
      <c r="H70" s="8" t="str">
        <f>IFERROR(VLOOKUP(Data_Table[[#This Row],[Ticket ID]],Product_Table[],2,FALSE),"")</f>
        <v>Platforms &amp; API</v>
      </c>
      <c r="I70" s="3" t="s">
        <v>2</v>
      </c>
      <c r="J70" s="8">
        <v>3</v>
      </c>
      <c r="K70" s="8">
        <v>3</v>
      </c>
      <c r="L70" s="8">
        <v>3</v>
      </c>
      <c r="M70" s="8">
        <v>3</v>
      </c>
      <c r="N70" s="8">
        <v>3</v>
      </c>
      <c r="O70" s="8">
        <v>3</v>
      </c>
      <c r="P70" s="8">
        <v>3</v>
      </c>
      <c r="Q70" s="8">
        <v>3</v>
      </c>
      <c r="R70" s="5" t="s">
        <v>3</v>
      </c>
      <c r="S70" s="5" t="str">
        <f>IF(MIN(Data_Table[[#This Row],[Grammar &amp; Syntax ]:[Quality of First Response]])&lt;=1,"Fail",IF(MIN(Data_Table[[#This Row],[Grammar &amp; Syntax ]:[Quality of First Response]])=2,"Neutral","Pass"))</f>
        <v>Pass</v>
      </c>
      <c r="T70" s="5" t="str">
        <f>IF(MIN(Data_Table[[#This Row],[Grammar &amp; Syntax ]:[Quality of First Response]])&lt;=1,"Fail",IF(MIN(Data_Table[[#This Row],[Grammar &amp; Syntax ]:[Quality of First Response]])=2,"Pass","Pass"))</f>
        <v>Pass</v>
      </c>
      <c r="U70" s="5">
        <f>IF(Data_Table[[#This Row],[Compliance Critical PF]]="Fail",1,0)</f>
        <v>0</v>
      </c>
      <c r="V70" s="5"/>
      <c r="W70" s="8">
        <v>3</v>
      </c>
      <c r="X70" s="8">
        <v>3</v>
      </c>
      <c r="Y70" s="8">
        <v>3</v>
      </c>
      <c r="Z70" s="8">
        <v>3</v>
      </c>
      <c r="AA70" s="1" t="s">
        <v>12</v>
      </c>
      <c r="AB70" s="8">
        <v>3</v>
      </c>
      <c r="AC70" s="8">
        <v>3</v>
      </c>
      <c r="AD70" s="8">
        <v>3</v>
      </c>
      <c r="AE70" s="1" t="s">
        <v>12</v>
      </c>
      <c r="AF70" s="7" t="s">
        <v>24</v>
      </c>
      <c r="AG70" s="7" t="str">
        <f>IF(MIN(Data_Table[[#This Row],[Priority Level]:[Effective escalation ]])&lt;=1,"Fail",IF(MIN(Data_Table[[#This Row],[Priority Level]:[Effective escalation ]])=2,"Neutral","Pass"))</f>
        <v>Pass</v>
      </c>
      <c r="AH70" s="2" t="str">
        <f>IF(MIN(Data_Table[[#This Row],[Priority Level]:[Effective escalation ]])&lt;=1,"Fail",IF(MIN(Data_Table[[#This Row],[Priority Level]:[Effective escalation ]])=2,"Pass","Pass"))</f>
        <v>Pass</v>
      </c>
      <c r="AI70" s="2" t="str">
        <f>IF(Data_Table[[#This Row],[Business Critical PF]]="Fail",1,"")</f>
        <v/>
      </c>
      <c r="AJ70" s="5"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70"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70" s="5" t="str">
        <f>IF(Data_Table[[#This Row],[Attribute Fail Rate PF]]="Fail",1,"")</f>
        <v/>
      </c>
      <c r="AM70" s="5">
        <f>1</f>
        <v>1</v>
      </c>
      <c r="AN70" s="5" t="str">
        <f>IF(Data_Table[[#This Row],[Attribute Fail Rate PF]]="Fail",Data_Table[[#This Row],[Ticket ID]],"")</f>
        <v/>
      </c>
      <c r="AO70" s="5" t="str" cm="1">
        <f t="array" ref="AO70">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71" spans="1:41" ht="15" customHeight="1" x14ac:dyDescent="0.25">
      <c r="A71" s="10">
        <v>44868</v>
      </c>
      <c r="B71" s="1" t="s">
        <v>6</v>
      </c>
      <c r="C71" s="1">
        <f t="shared" si="2"/>
        <v>45</v>
      </c>
      <c r="D71" s="1">
        <f>MATCH(Data_Table[[#This Row],[Week]],_xlfn._xlws.SORT(_xlfn.UNIQUE(Data_Table[Week]),1,-1),0)</f>
        <v>3</v>
      </c>
      <c r="E71" s="1" t="str">
        <f>TEXT(Data_Table[[#This Row],[Date of the Ticket for Review]],"mmm")</f>
        <v>Nov</v>
      </c>
      <c r="F71" s="8">
        <v>878366</v>
      </c>
      <c r="G71" s="8" t="str">
        <f>VLOOKUP(F71,Agent_Table[],2,FALSE)</f>
        <v>Carolina Gonzalez</v>
      </c>
      <c r="H71" s="8" t="str">
        <f>IFERROR(VLOOKUP(Data_Table[[#This Row],[Ticket ID]],Product_Table[],2,FALSE),"")</f>
        <v>Performance &amp; Delivery</v>
      </c>
      <c r="I71" s="3" t="s">
        <v>2</v>
      </c>
      <c r="J71" s="8">
        <v>3</v>
      </c>
      <c r="K71" s="8">
        <v>3</v>
      </c>
      <c r="L71" s="8">
        <v>3</v>
      </c>
      <c r="M71" s="8">
        <v>3</v>
      </c>
      <c r="N71" s="8">
        <v>3</v>
      </c>
      <c r="O71" s="8">
        <v>3</v>
      </c>
      <c r="P71" s="8">
        <v>3</v>
      </c>
      <c r="Q71" s="8">
        <v>3</v>
      </c>
      <c r="R71" s="5" t="s">
        <v>3</v>
      </c>
      <c r="S71" s="5" t="str">
        <f>IF(MIN(Data_Table[[#This Row],[Grammar &amp; Syntax ]:[Quality of First Response]])&lt;=1,"Fail",IF(MIN(Data_Table[[#This Row],[Grammar &amp; Syntax ]:[Quality of First Response]])=2,"Neutral","Pass"))</f>
        <v>Pass</v>
      </c>
      <c r="T71" s="5" t="str">
        <f>IF(MIN(Data_Table[[#This Row],[Grammar &amp; Syntax ]:[Quality of First Response]])&lt;=1,"Fail",IF(MIN(Data_Table[[#This Row],[Grammar &amp; Syntax ]:[Quality of First Response]])=2,"Pass","Pass"))</f>
        <v>Pass</v>
      </c>
      <c r="U71" s="5">
        <f>IF(Data_Table[[#This Row],[Compliance Critical PF]]="Fail",1,0)</f>
        <v>0</v>
      </c>
      <c r="V71" s="5"/>
      <c r="W71" s="8">
        <v>1</v>
      </c>
      <c r="X71" s="8">
        <v>3</v>
      </c>
      <c r="Y71" s="8">
        <v>3</v>
      </c>
      <c r="Z71" s="8">
        <v>3</v>
      </c>
      <c r="AA71" s="8">
        <v>3</v>
      </c>
      <c r="AB71" s="8">
        <v>3</v>
      </c>
      <c r="AC71" s="8">
        <v>3</v>
      </c>
      <c r="AD71" s="8">
        <v>2</v>
      </c>
      <c r="AE71" s="1" t="s">
        <v>12</v>
      </c>
      <c r="AF71" s="7" t="s">
        <v>25</v>
      </c>
      <c r="AG71" s="7" t="str">
        <f>IF(MIN(Data_Table[[#This Row],[Priority Level]:[Effective escalation ]])&lt;=1,"Fail",IF(MIN(Data_Table[[#This Row],[Priority Level]:[Effective escalation ]])=2,"Neutral","Pass"))</f>
        <v>Fail</v>
      </c>
      <c r="AH71" s="2" t="str">
        <f>IF(MIN(Data_Table[[#This Row],[Priority Level]:[Effective escalation ]])&lt;=1,"Fail",IF(MIN(Data_Table[[#This Row],[Priority Level]:[Effective escalation ]])=2,"Pass","Pass"))</f>
        <v>Fail</v>
      </c>
      <c r="AI71" s="2">
        <f>IF(Data_Table[[#This Row],[Business Critical PF]]="Fail",1,"")</f>
        <v>1</v>
      </c>
      <c r="AJ71" s="5" t="str">
        <f>IF(MIN(Data_Table[[#This Row],[Grammar &amp; Syntax ]:[Quality of First Response]],Data_Table[[#This Row],[Priority Level]:[Effective escalation ]])&lt;=1,"Fail",IF(MIN(Data_Table[[#This Row],[Grammar &amp; Syntax ]:[Quality of First Response]],Data_Table[[#This Row],[Priority Level]:[Effective escalation ]])=2,"Neutral","Pass"))</f>
        <v>Fail</v>
      </c>
      <c r="AK71" s="5" t="str">
        <f>IF(MIN(Data_Table[[#This Row],[Grammar &amp; Syntax ]:[Quality of First Response]],Data_Table[[#This Row],[Priority Level]:[Effective escalation ]])&lt;=1,"Fail",IF(MIN(Data_Table[[#This Row],[Grammar &amp; Syntax ]:[Quality of First Response]],Data_Table[[#This Row],[Priority Level]:[Effective escalation ]])=2,"Pass","Pass"))</f>
        <v>Fail</v>
      </c>
      <c r="AL71" s="5">
        <f>IF(Data_Table[[#This Row],[Attribute Fail Rate PF]]="Fail",1,"")</f>
        <v>1</v>
      </c>
      <c r="AM71" s="5">
        <f>1</f>
        <v>1</v>
      </c>
      <c r="AN71" s="5">
        <f>IF(Data_Table[[#This Row],[Attribute Fail Rate PF]]="Fail",Data_Table[[#This Row],[Ticket ID]],"")</f>
        <v>878366</v>
      </c>
      <c r="AO71" s="5" t="str" cm="1">
        <f t="array" ref="AO71">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Priority Level</v>
      </c>
    </row>
    <row r="72" spans="1:41" ht="15" customHeight="1" x14ac:dyDescent="0.25">
      <c r="A72" s="10">
        <v>44867</v>
      </c>
      <c r="B72" s="1" t="s">
        <v>6</v>
      </c>
      <c r="C72" s="1">
        <f t="shared" si="2"/>
        <v>45</v>
      </c>
      <c r="D72" s="1">
        <f>MATCH(Data_Table[[#This Row],[Week]],_xlfn._xlws.SORT(_xlfn.UNIQUE(Data_Table[Week]),1,-1),0)</f>
        <v>3</v>
      </c>
      <c r="E72" s="1" t="str">
        <f>TEXT(Data_Table[[#This Row],[Date of the Ticket for Review]],"mmm")</f>
        <v>Nov</v>
      </c>
      <c r="F72" s="8">
        <v>876699</v>
      </c>
      <c r="G72" s="8" t="str">
        <f>VLOOKUP(F72,Agent_Table[],2,FALSE)</f>
        <v>Carolina Gonzalez</v>
      </c>
      <c r="H72" s="8" t="str">
        <f>IFERROR(VLOOKUP(Data_Table[[#This Row],[Ticket ID]],Product_Table[],2,FALSE),"")</f>
        <v>Performance &amp; Delivery</v>
      </c>
      <c r="I72" s="3" t="s">
        <v>2</v>
      </c>
      <c r="J72" s="8">
        <v>3</v>
      </c>
      <c r="K72" s="8">
        <v>3</v>
      </c>
      <c r="L72" s="8">
        <v>3</v>
      </c>
      <c r="M72" s="8">
        <v>3</v>
      </c>
      <c r="N72" s="8">
        <v>3</v>
      </c>
      <c r="O72" s="8">
        <v>3</v>
      </c>
      <c r="P72" s="8">
        <v>3</v>
      </c>
      <c r="Q72" s="8">
        <v>3</v>
      </c>
      <c r="R72" s="5" t="s">
        <v>3</v>
      </c>
      <c r="S72" s="5" t="str">
        <f>IF(MIN(Data_Table[[#This Row],[Grammar &amp; Syntax ]:[Quality of First Response]])&lt;=1,"Fail",IF(MIN(Data_Table[[#This Row],[Grammar &amp; Syntax ]:[Quality of First Response]])=2,"Neutral","Pass"))</f>
        <v>Pass</v>
      </c>
      <c r="T72" s="5" t="str">
        <f>IF(MIN(Data_Table[[#This Row],[Grammar &amp; Syntax ]:[Quality of First Response]])&lt;=1,"Fail",IF(MIN(Data_Table[[#This Row],[Grammar &amp; Syntax ]:[Quality of First Response]])=2,"Pass","Pass"))</f>
        <v>Pass</v>
      </c>
      <c r="U72" s="5">
        <f>IF(Data_Table[[#This Row],[Compliance Critical PF]]="Fail",1,0)</f>
        <v>0</v>
      </c>
      <c r="V72" s="5"/>
      <c r="W72" s="8">
        <v>3</v>
      </c>
      <c r="X72" s="8">
        <v>3</v>
      </c>
      <c r="Y72" s="8">
        <v>3</v>
      </c>
      <c r="Z72" s="8">
        <v>2</v>
      </c>
      <c r="AA72" s="1" t="s">
        <v>12</v>
      </c>
      <c r="AB72" s="1" t="s">
        <v>12</v>
      </c>
      <c r="AC72" s="1" t="s">
        <v>12</v>
      </c>
      <c r="AD72" s="1" t="s">
        <v>12</v>
      </c>
      <c r="AE72" s="1" t="s">
        <v>12</v>
      </c>
      <c r="AF72" s="7" t="s">
        <v>26</v>
      </c>
      <c r="AG72" s="7" t="str">
        <f>IF(MIN(Data_Table[[#This Row],[Priority Level]:[Effective escalation ]])&lt;=1,"Fail",IF(MIN(Data_Table[[#This Row],[Priority Level]:[Effective escalation ]])=2,"Neutral","Pass"))</f>
        <v>Neutral</v>
      </c>
      <c r="AH72" s="2" t="str">
        <f>IF(MIN(Data_Table[[#This Row],[Priority Level]:[Effective escalation ]])&lt;=1,"Fail",IF(MIN(Data_Table[[#This Row],[Priority Level]:[Effective escalation ]])=2,"Pass","Pass"))</f>
        <v>Pass</v>
      </c>
      <c r="AI72" s="2" t="str">
        <f>IF(Data_Table[[#This Row],[Business Critical PF]]="Fail",1,"")</f>
        <v/>
      </c>
      <c r="AJ72" s="5" t="str">
        <f>IF(MIN(Data_Table[[#This Row],[Grammar &amp; Syntax ]:[Quality of First Response]],Data_Table[[#This Row],[Priority Level]:[Effective escalation ]])&lt;=1,"Fail",IF(MIN(Data_Table[[#This Row],[Grammar &amp; Syntax ]:[Quality of First Response]],Data_Table[[#This Row],[Priority Level]:[Effective escalation ]])=2,"Neutral","Pass"))</f>
        <v>Neutral</v>
      </c>
      <c r="AK72"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72" s="5" t="str">
        <f>IF(Data_Table[[#This Row],[Attribute Fail Rate PF]]="Fail",1,"")</f>
        <v/>
      </c>
      <c r="AM72" s="5">
        <f>1</f>
        <v>1</v>
      </c>
      <c r="AN72" s="5" t="str">
        <f>IF(Data_Table[[#This Row],[Attribute Fail Rate PF]]="Fail",Data_Table[[#This Row],[Ticket ID]],"")</f>
        <v/>
      </c>
      <c r="AO72" s="5" t="str" cm="1">
        <f t="array" ref="AO72">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73" spans="1:41" ht="15" customHeight="1" x14ac:dyDescent="0.25">
      <c r="A73" s="10">
        <v>44867</v>
      </c>
      <c r="B73" s="1" t="s">
        <v>6</v>
      </c>
      <c r="C73" s="1">
        <f t="shared" si="2"/>
        <v>45</v>
      </c>
      <c r="D73" s="1">
        <f>MATCH(Data_Table[[#This Row],[Week]],_xlfn._xlws.SORT(_xlfn.UNIQUE(Data_Table[Week]),1,-1),0)</f>
        <v>3</v>
      </c>
      <c r="E73" s="1" t="str">
        <f>TEXT(Data_Table[[#This Row],[Date of the Ticket for Review]],"mmm")</f>
        <v>Nov</v>
      </c>
      <c r="F73" s="8">
        <v>876738</v>
      </c>
      <c r="G73" s="8" t="str">
        <f>VLOOKUP(F73,Agent_Table[],2,FALSE)</f>
        <v>Eduardo Villa</v>
      </c>
      <c r="H73" s="8" t="str">
        <f>IFERROR(VLOOKUP(Data_Table[[#This Row],[Ticket ID]],Product_Table[],2,FALSE),"")</f>
        <v/>
      </c>
      <c r="I73" s="3" t="s">
        <v>2</v>
      </c>
      <c r="J73" s="8">
        <v>3</v>
      </c>
      <c r="K73" s="8">
        <v>3</v>
      </c>
      <c r="L73" s="8">
        <v>3</v>
      </c>
      <c r="M73" s="8">
        <v>3</v>
      </c>
      <c r="N73" s="8">
        <v>3</v>
      </c>
      <c r="O73" s="8">
        <v>3</v>
      </c>
      <c r="P73" s="8">
        <v>3</v>
      </c>
      <c r="Q73" s="8">
        <v>3</v>
      </c>
      <c r="R73" s="5" t="s">
        <v>3</v>
      </c>
      <c r="S73" s="5" t="str">
        <f>IF(MIN(Data_Table[[#This Row],[Grammar &amp; Syntax ]:[Quality of First Response]])&lt;=1,"Fail",IF(MIN(Data_Table[[#This Row],[Grammar &amp; Syntax ]:[Quality of First Response]])=2,"Neutral","Pass"))</f>
        <v>Pass</v>
      </c>
      <c r="T73" s="5" t="str">
        <f>IF(MIN(Data_Table[[#This Row],[Grammar &amp; Syntax ]:[Quality of First Response]])&lt;=1,"Fail",IF(MIN(Data_Table[[#This Row],[Grammar &amp; Syntax ]:[Quality of First Response]])=2,"Pass","Pass"))</f>
        <v>Pass</v>
      </c>
      <c r="U73" s="5">
        <f>IF(Data_Table[[#This Row],[Compliance Critical PF]]="Fail",1,0)</f>
        <v>0</v>
      </c>
      <c r="V73" s="5"/>
      <c r="W73" s="1" t="s">
        <v>27</v>
      </c>
      <c r="X73" s="1" t="s">
        <v>27</v>
      </c>
      <c r="Y73" s="1" t="s">
        <v>27</v>
      </c>
      <c r="Z73" s="1" t="s">
        <v>27</v>
      </c>
      <c r="AA73" s="1" t="s">
        <v>27</v>
      </c>
      <c r="AB73" s="1" t="s">
        <v>27</v>
      </c>
      <c r="AC73" s="1" t="s">
        <v>27</v>
      </c>
      <c r="AD73" s="1" t="s">
        <v>27</v>
      </c>
      <c r="AE73" s="1" t="s">
        <v>27</v>
      </c>
      <c r="AF73" s="7" t="s">
        <v>27</v>
      </c>
      <c r="AG73" s="7" t="str">
        <f>IF(MIN(Data_Table[[#This Row],[Priority Level]:[Effective escalation ]])&lt;=1,"Fail",IF(MIN(Data_Table[[#This Row],[Priority Level]:[Effective escalation ]])=2,"Neutral","Pass"))</f>
        <v>Fail</v>
      </c>
      <c r="AH73" s="2" t="str">
        <f>IF(MIN(Data_Table[[#This Row],[Priority Level]:[Effective escalation ]])&lt;=1,"Fail",IF(MIN(Data_Table[[#This Row],[Priority Level]:[Effective escalation ]])=2,"Pass","Pass"))</f>
        <v>Fail</v>
      </c>
      <c r="AI73" s="2">
        <f>IF(Data_Table[[#This Row],[Business Critical PF]]="Fail",1,"")</f>
        <v>1</v>
      </c>
      <c r="AJ73" s="5"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73"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73" s="5" t="str">
        <f>IF(Data_Table[[#This Row],[Attribute Fail Rate PF]]="Fail",1,"")</f>
        <v/>
      </c>
      <c r="AM73" s="5">
        <f>1</f>
        <v>1</v>
      </c>
      <c r="AN73" s="5" t="str">
        <f>IF(Data_Table[[#This Row],[Attribute Fail Rate PF]]="Fail",Data_Table[[#This Row],[Ticket ID]],"")</f>
        <v/>
      </c>
      <c r="AO73" s="5" t="str" cm="1">
        <f t="array" ref="AO73">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74" spans="1:41" ht="15" customHeight="1" x14ac:dyDescent="0.25">
      <c r="A74" s="10">
        <v>44866</v>
      </c>
      <c r="B74" s="1" t="s">
        <v>6</v>
      </c>
      <c r="C74" s="1">
        <f t="shared" si="2"/>
        <v>45</v>
      </c>
      <c r="D74" s="1">
        <f>MATCH(Data_Table[[#This Row],[Week]],_xlfn._xlws.SORT(_xlfn.UNIQUE(Data_Table[Week]),1,-1),0)</f>
        <v>3</v>
      </c>
      <c r="E74" s="1" t="str">
        <f>TEXT(Data_Table[[#This Row],[Date of the Ticket for Review]],"mmm")</f>
        <v>Nov</v>
      </c>
      <c r="F74" s="8">
        <v>874811</v>
      </c>
      <c r="G74" s="8" t="str">
        <f>VLOOKUP(F74,Agent_Table[],2,FALSE)</f>
        <v>Eduardo Villa</v>
      </c>
      <c r="H74" s="8" t="str">
        <f>IFERROR(VLOOKUP(Data_Table[[#This Row],[Ticket ID]],Product_Table[],2,FALSE),"")</f>
        <v>Platforms &amp; API</v>
      </c>
      <c r="I74" s="3" t="s">
        <v>2</v>
      </c>
      <c r="J74" s="8">
        <v>3</v>
      </c>
      <c r="K74" s="8">
        <v>3</v>
      </c>
      <c r="L74" s="8">
        <v>3</v>
      </c>
      <c r="M74" s="8">
        <v>3</v>
      </c>
      <c r="N74" s="8">
        <v>3</v>
      </c>
      <c r="O74" s="8">
        <v>3</v>
      </c>
      <c r="P74" s="8">
        <v>3</v>
      </c>
      <c r="Q74" s="8">
        <v>3</v>
      </c>
      <c r="R74" s="5" t="s">
        <v>3</v>
      </c>
      <c r="S74" s="5" t="str">
        <f>IF(MIN(Data_Table[[#This Row],[Grammar &amp; Syntax ]:[Quality of First Response]])&lt;=1,"Fail",IF(MIN(Data_Table[[#This Row],[Grammar &amp; Syntax ]:[Quality of First Response]])=2,"Neutral","Pass"))</f>
        <v>Pass</v>
      </c>
      <c r="T74" s="5" t="str">
        <f>IF(MIN(Data_Table[[#This Row],[Grammar &amp; Syntax ]:[Quality of First Response]])&lt;=1,"Fail",IF(MIN(Data_Table[[#This Row],[Grammar &amp; Syntax ]:[Quality of First Response]])=2,"Pass","Pass"))</f>
        <v>Pass</v>
      </c>
      <c r="U74" s="5">
        <f>IF(Data_Table[[#This Row],[Compliance Critical PF]]="Fail",1,0)</f>
        <v>0</v>
      </c>
      <c r="V74" s="5"/>
      <c r="W74" s="8">
        <v>2</v>
      </c>
      <c r="X74" s="8">
        <v>3</v>
      </c>
      <c r="Y74" s="8">
        <v>3</v>
      </c>
      <c r="Z74" s="8">
        <v>2</v>
      </c>
      <c r="AA74" s="1" t="s">
        <v>12</v>
      </c>
      <c r="AB74" s="8">
        <v>3</v>
      </c>
      <c r="AC74" s="8">
        <v>3</v>
      </c>
      <c r="AD74" s="8">
        <v>3</v>
      </c>
      <c r="AE74" s="1" t="s">
        <v>12</v>
      </c>
      <c r="AF74" s="7" t="s">
        <v>28</v>
      </c>
      <c r="AG74" s="7" t="str">
        <f>IF(MIN(Data_Table[[#This Row],[Priority Level]:[Effective escalation ]])&lt;=1,"Fail",IF(MIN(Data_Table[[#This Row],[Priority Level]:[Effective escalation ]])=2,"Neutral","Pass"))</f>
        <v>Neutral</v>
      </c>
      <c r="AH74" s="2" t="str">
        <f>IF(MIN(Data_Table[[#This Row],[Priority Level]:[Effective escalation ]])&lt;=1,"Fail",IF(MIN(Data_Table[[#This Row],[Priority Level]:[Effective escalation ]])=2,"Pass","Pass"))</f>
        <v>Pass</v>
      </c>
      <c r="AI74" s="2" t="str">
        <f>IF(Data_Table[[#This Row],[Business Critical PF]]="Fail",1,"")</f>
        <v/>
      </c>
      <c r="AJ74" s="5" t="str">
        <f>IF(MIN(Data_Table[[#This Row],[Grammar &amp; Syntax ]:[Quality of First Response]],Data_Table[[#This Row],[Priority Level]:[Effective escalation ]])&lt;=1,"Fail",IF(MIN(Data_Table[[#This Row],[Grammar &amp; Syntax ]:[Quality of First Response]],Data_Table[[#This Row],[Priority Level]:[Effective escalation ]])=2,"Neutral","Pass"))</f>
        <v>Neutral</v>
      </c>
      <c r="AK74"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74" s="5" t="str">
        <f>IF(Data_Table[[#This Row],[Attribute Fail Rate PF]]="Fail",1,"")</f>
        <v/>
      </c>
      <c r="AM74" s="5">
        <f>1</f>
        <v>1</v>
      </c>
      <c r="AN74" s="5" t="str">
        <f>IF(Data_Table[[#This Row],[Attribute Fail Rate PF]]="Fail",Data_Table[[#This Row],[Ticket ID]],"")</f>
        <v/>
      </c>
      <c r="AO74" s="5" t="str" cm="1">
        <f t="array" ref="AO74">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75" spans="1:41" ht="15" customHeight="1" x14ac:dyDescent="0.25">
      <c r="A75" s="10">
        <v>44869</v>
      </c>
      <c r="B75" s="1" t="s">
        <v>6</v>
      </c>
      <c r="C75" s="1">
        <f t="shared" si="2"/>
        <v>45</v>
      </c>
      <c r="D75" s="1">
        <f>MATCH(Data_Table[[#This Row],[Week]],_xlfn._xlws.SORT(_xlfn.UNIQUE(Data_Table[Week]),1,-1),0)</f>
        <v>3</v>
      </c>
      <c r="E75" s="1" t="str">
        <f>TEXT(Data_Table[[#This Row],[Date of the Ticket for Review]],"mmm")</f>
        <v>Nov</v>
      </c>
      <c r="F75" s="8">
        <v>880027</v>
      </c>
      <c r="G75" s="8" t="str">
        <f>VLOOKUP(F75,Agent_Table[],2,FALSE)</f>
        <v>Jessica Hernandez</v>
      </c>
      <c r="H75" s="8" t="str">
        <f>IFERROR(VLOOKUP(Data_Table[[#This Row],[Ticket ID]],Product_Table[],2,FALSE),"")</f>
        <v>Platforms &amp; API</v>
      </c>
      <c r="I75" s="3" t="s">
        <v>2</v>
      </c>
      <c r="J75" s="8">
        <v>3</v>
      </c>
      <c r="K75" s="8">
        <v>3</v>
      </c>
      <c r="L75" s="8">
        <v>3</v>
      </c>
      <c r="M75" s="8">
        <v>3</v>
      </c>
      <c r="N75" s="8">
        <v>3</v>
      </c>
      <c r="O75" s="8">
        <v>3</v>
      </c>
      <c r="P75" s="8">
        <v>3</v>
      </c>
      <c r="Q75" s="8">
        <v>3</v>
      </c>
      <c r="R75" s="5" t="s">
        <v>3</v>
      </c>
      <c r="S75" s="5" t="str">
        <f>IF(MIN(Data_Table[[#This Row],[Grammar &amp; Syntax ]:[Quality of First Response]])&lt;=1,"Fail",IF(MIN(Data_Table[[#This Row],[Grammar &amp; Syntax ]:[Quality of First Response]])=2,"Neutral","Pass"))</f>
        <v>Pass</v>
      </c>
      <c r="T75" s="5" t="str">
        <f>IF(MIN(Data_Table[[#This Row],[Grammar &amp; Syntax ]:[Quality of First Response]])&lt;=1,"Fail",IF(MIN(Data_Table[[#This Row],[Grammar &amp; Syntax ]:[Quality of First Response]])=2,"Pass","Pass"))</f>
        <v>Pass</v>
      </c>
      <c r="U75" s="5">
        <f>IF(Data_Table[[#This Row],[Compliance Critical PF]]="Fail",1,0)</f>
        <v>0</v>
      </c>
      <c r="V75" s="5"/>
      <c r="W75" s="8">
        <v>3</v>
      </c>
      <c r="X75" s="8">
        <v>3</v>
      </c>
      <c r="Y75" s="8">
        <v>3</v>
      </c>
      <c r="Z75" s="8">
        <v>3</v>
      </c>
      <c r="AA75" s="8">
        <v>3</v>
      </c>
      <c r="AB75" s="8">
        <v>3</v>
      </c>
      <c r="AC75" s="8">
        <v>3</v>
      </c>
      <c r="AD75" s="8">
        <v>1</v>
      </c>
      <c r="AE75" s="1" t="s">
        <v>12</v>
      </c>
      <c r="AF75" s="7" t="s">
        <v>29</v>
      </c>
      <c r="AG75" s="7" t="str">
        <f>IF(MIN(Data_Table[[#This Row],[Priority Level]:[Effective escalation ]])&lt;=1,"Fail",IF(MIN(Data_Table[[#This Row],[Priority Level]:[Effective escalation ]])=2,"Neutral","Pass"))</f>
        <v>Fail</v>
      </c>
      <c r="AH75" s="2" t="str">
        <f>IF(MIN(Data_Table[[#This Row],[Priority Level]:[Effective escalation ]])&lt;=1,"Fail",IF(MIN(Data_Table[[#This Row],[Priority Level]:[Effective escalation ]])=2,"Pass","Pass"))</f>
        <v>Fail</v>
      </c>
      <c r="AI75" s="2">
        <f>IF(Data_Table[[#This Row],[Business Critical PF]]="Fail",1,"")</f>
        <v>1</v>
      </c>
      <c r="AJ75" s="5" t="str">
        <f>IF(MIN(Data_Table[[#This Row],[Grammar &amp; Syntax ]:[Quality of First Response]],Data_Table[[#This Row],[Priority Level]:[Effective escalation ]])&lt;=1,"Fail",IF(MIN(Data_Table[[#This Row],[Grammar &amp; Syntax ]:[Quality of First Response]],Data_Table[[#This Row],[Priority Level]:[Effective escalation ]])=2,"Neutral","Pass"))</f>
        <v>Fail</v>
      </c>
      <c r="AK75" s="5" t="str">
        <f>IF(MIN(Data_Table[[#This Row],[Grammar &amp; Syntax ]:[Quality of First Response]],Data_Table[[#This Row],[Priority Level]:[Effective escalation ]])&lt;=1,"Fail",IF(MIN(Data_Table[[#This Row],[Grammar &amp; Syntax ]:[Quality of First Response]],Data_Table[[#This Row],[Priority Level]:[Effective escalation ]])=2,"Pass","Pass"))</f>
        <v>Fail</v>
      </c>
      <c r="AL75" s="5">
        <f>IF(Data_Table[[#This Row],[Attribute Fail Rate PF]]="Fail",1,"")</f>
        <v>1</v>
      </c>
      <c r="AM75" s="5">
        <f>1</f>
        <v>1</v>
      </c>
      <c r="AN75" s="5">
        <f>IF(Data_Table[[#This Row],[Attribute Fail Rate PF]]="Fail",Data_Table[[#This Row],[Ticket ID]],"")</f>
        <v>880027</v>
      </c>
      <c r="AO75" s="5" t="str" cm="1">
        <f t="array" ref="AO75">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Resolution time</v>
      </c>
    </row>
    <row r="76" spans="1:41" ht="15" customHeight="1" x14ac:dyDescent="0.25">
      <c r="A76" s="10">
        <v>44869</v>
      </c>
      <c r="B76" s="1" t="s">
        <v>6</v>
      </c>
      <c r="C76" s="1">
        <f t="shared" si="2"/>
        <v>45</v>
      </c>
      <c r="D76" s="1">
        <f>MATCH(Data_Table[[#This Row],[Week]],_xlfn._xlws.SORT(_xlfn.UNIQUE(Data_Table[Week]),1,-1),0)</f>
        <v>3</v>
      </c>
      <c r="E76" s="1" t="str">
        <f>TEXT(Data_Table[[#This Row],[Date of the Ticket for Review]],"mmm")</f>
        <v>Nov</v>
      </c>
      <c r="F76" s="8">
        <v>879979</v>
      </c>
      <c r="G76" s="8" t="str">
        <f>VLOOKUP(F76,Agent_Table[],2,FALSE)</f>
        <v>Jessica Hernandez</v>
      </c>
      <c r="H76" s="8" t="str">
        <f>IFERROR(VLOOKUP(Data_Table[[#This Row],[Ticket ID]],Product_Table[],2,FALSE),"")</f>
        <v>Platforms &amp; API</v>
      </c>
      <c r="I76" s="3" t="s">
        <v>2</v>
      </c>
      <c r="J76" s="8">
        <v>3</v>
      </c>
      <c r="K76" s="8">
        <v>3</v>
      </c>
      <c r="L76" s="8">
        <v>3</v>
      </c>
      <c r="M76" s="8">
        <v>3</v>
      </c>
      <c r="N76" s="8">
        <v>3</v>
      </c>
      <c r="O76" s="8">
        <v>1</v>
      </c>
      <c r="P76" s="8">
        <v>3</v>
      </c>
      <c r="Q76" s="8">
        <v>3</v>
      </c>
      <c r="R76" s="5" t="s">
        <v>5</v>
      </c>
      <c r="S76" s="5" t="str">
        <f>IF(MIN(Data_Table[[#This Row],[Grammar &amp; Syntax ]:[Quality of First Response]])&lt;=1,"Fail",IF(MIN(Data_Table[[#This Row],[Grammar &amp; Syntax ]:[Quality of First Response]])=2,"Neutral","Pass"))</f>
        <v>Fail</v>
      </c>
      <c r="T76" s="5" t="str">
        <f>IF(MIN(Data_Table[[#This Row],[Grammar &amp; Syntax ]:[Quality of First Response]])&lt;=1,"Fail",IF(MIN(Data_Table[[#This Row],[Grammar &amp; Syntax ]:[Quality of First Response]])=2,"Pass","Pass"))</f>
        <v>Fail</v>
      </c>
      <c r="U76" s="5">
        <f>IF(Data_Table[[#This Row],[Compliance Critical PF]]="Fail",1,0)</f>
        <v>1</v>
      </c>
      <c r="V76" s="5"/>
      <c r="W76" s="8">
        <v>3</v>
      </c>
      <c r="X76" s="8">
        <v>3</v>
      </c>
      <c r="Y76" s="8">
        <v>3</v>
      </c>
      <c r="Z76" s="8">
        <v>3</v>
      </c>
      <c r="AA76" s="1" t="s">
        <v>12</v>
      </c>
      <c r="AB76" s="8">
        <v>3</v>
      </c>
      <c r="AC76" s="8">
        <v>3</v>
      </c>
      <c r="AD76" s="8">
        <v>1</v>
      </c>
      <c r="AE76" s="1" t="s">
        <v>12</v>
      </c>
      <c r="AF76" s="7" t="s">
        <v>30</v>
      </c>
      <c r="AG76" s="7" t="str">
        <f>IF(MIN(Data_Table[[#This Row],[Priority Level]:[Effective escalation ]])&lt;=1,"Fail",IF(MIN(Data_Table[[#This Row],[Priority Level]:[Effective escalation ]])=2,"Neutral","Pass"))</f>
        <v>Fail</v>
      </c>
      <c r="AH76" s="2" t="str">
        <f>IF(MIN(Data_Table[[#This Row],[Priority Level]:[Effective escalation ]])&lt;=1,"Fail",IF(MIN(Data_Table[[#This Row],[Priority Level]:[Effective escalation ]])=2,"Pass","Pass"))</f>
        <v>Fail</v>
      </c>
      <c r="AI76" s="2">
        <f>IF(Data_Table[[#This Row],[Business Critical PF]]="Fail",1,"")</f>
        <v>1</v>
      </c>
      <c r="AJ76" s="5" t="str">
        <f>IF(MIN(Data_Table[[#This Row],[Grammar &amp; Syntax ]:[Quality of First Response]],Data_Table[[#This Row],[Priority Level]:[Effective escalation ]])&lt;=1,"Fail",IF(MIN(Data_Table[[#This Row],[Grammar &amp; Syntax ]:[Quality of First Response]],Data_Table[[#This Row],[Priority Level]:[Effective escalation ]])=2,"Neutral","Pass"))</f>
        <v>Fail</v>
      </c>
      <c r="AK76" s="5" t="str">
        <f>IF(MIN(Data_Table[[#This Row],[Grammar &amp; Syntax ]:[Quality of First Response]],Data_Table[[#This Row],[Priority Level]:[Effective escalation ]])&lt;=1,"Fail",IF(MIN(Data_Table[[#This Row],[Grammar &amp; Syntax ]:[Quality of First Response]],Data_Table[[#This Row],[Priority Level]:[Effective escalation ]])=2,"Pass","Pass"))</f>
        <v>Fail</v>
      </c>
      <c r="AL76" s="5">
        <f>IF(Data_Table[[#This Row],[Attribute Fail Rate PF]]="Fail",1,"")</f>
        <v>1</v>
      </c>
      <c r="AM76" s="5">
        <f>1</f>
        <v>1</v>
      </c>
      <c r="AN76" s="5">
        <f>IF(Data_Table[[#This Row],[Attribute Fail Rate PF]]="Fail",Data_Table[[#This Row],[Ticket ID]],"")</f>
        <v>879979</v>
      </c>
      <c r="AO76" s="5" t="str" cm="1">
        <f t="array" ref="AO76">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Accountability &amp; Ownership , Resolution time</v>
      </c>
    </row>
    <row r="77" spans="1:41" ht="15" customHeight="1" x14ac:dyDescent="0.25">
      <c r="A77" s="10">
        <v>44865</v>
      </c>
      <c r="B77" s="1" t="s">
        <v>6</v>
      </c>
      <c r="C77" s="1">
        <f t="shared" si="2"/>
        <v>45</v>
      </c>
      <c r="D77" s="1">
        <f>MATCH(Data_Table[[#This Row],[Week]],_xlfn._xlws.SORT(_xlfn.UNIQUE(Data_Table[Week]),1,-1),0)</f>
        <v>3</v>
      </c>
      <c r="E77" s="1" t="str">
        <f>TEXT(Data_Table[[#This Row],[Date of the Ticket for Review]],"mmm")</f>
        <v>Oct</v>
      </c>
      <c r="F77" s="8">
        <v>874646</v>
      </c>
      <c r="G77" s="8" t="str">
        <f>VLOOKUP(F77,Agent_Table[],2,FALSE)</f>
        <v>Brianna Arrighi</v>
      </c>
      <c r="H77" s="8" t="str">
        <f>IFERROR(VLOOKUP(Data_Table[[#This Row],[Ticket ID]],Product_Table[],2,FALSE),"")</f>
        <v>Platforms &amp; API</v>
      </c>
      <c r="I77" s="3" t="s">
        <v>2</v>
      </c>
      <c r="J77" s="8">
        <v>3</v>
      </c>
      <c r="K77" s="8">
        <v>3</v>
      </c>
      <c r="L77" s="8">
        <v>3</v>
      </c>
      <c r="M77" s="8">
        <v>3</v>
      </c>
      <c r="N77" s="8">
        <v>3</v>
      </c>
      <c r="O77" s="8">
        <v>3</v>
      </c>
      <c r="P77" s="8">
        <v>3</v>
      </c>
      <c r="Q77" s="8">
        <v>3</v>
      </c>
      <c r="R77" s="5" t="s">
        <v>3</v>
      </c>
      <c r="S77" s="5" t="str">
        <f>IF(MIN(Data_Table[[#This Row],[Grammar &amp; Syntax ]:[Quality of First Response]])&lt;=1,"Fail",IF(MIN(Data_Table[[#This Row],[Grammar &amp; Syntax ]:[Quality of First Response]])=2,"Neutral","Pass"))</f>
        <v>Pass</v>
      </c>
      <c r="T77" s="5" t="str">
        <f>IF(MIN(Data_Table[[#This Row],[Grammar &amp; Syntax ]:[Quality of First Response]])&lt;=1,"Fail",IF(MIN(Data_Table[[#This Row],[Grammar &amp; Syntax ]:[Quality of First Response]])=2,"Pass","Pass"))</f>
        <v>Pass</v>
      </c>
      <c r="U77" s="5">
        <f>IF(Data_Table[[#This Row],[Compliance Critical PF]]="Fail",1,0)</f>
        <v>0</v>
      </c>
      <c r="V77" s="5"/>
      <c r="W77" s="8">
        <v>3</v>
      </c>
      <c r="X77" s="8">
        <v>3</v>
      </c>
      <c r="Y77" s="8">
        <v>3</v>
      </c>
      <c r="Z77" s="1" t="s">
        <v>6</v>
      </c>
      <c r="AA77" s="1" t="s">
        <v>12</v>
      </c>
      <c r="AB77" s="8">
        <v>3</v>
      </c>
      <c r="AC77" s="8">
        <v>3</v>
      </c>
      <c r="AD77" s="8">
        <v>3</v>
      </c>
      <c r="AE77" s="1" t="s">
        <v>12</v>
      </c>
      <c r="AF77" s="7" t="s">
        <v>31</v>
      </c>
      <c r="AG77" s="7" t="str">
        <f>IF(MIN(Data_Table[[#This Row],[Priority Level]:[Effective escalation ]])&lt;=1,"Fail",IF(MIN(Data_Table[[#This Row],[Priority Level]:[Effective escalation ]])=2,"Neutral","Pass"))</f>
        <v>Pass</v>
      </c>
      <c r="AH77" s="2" t="str">
        <f>IF(MIN(Data_Table[[#This Row],[Priority Level]:[Effective escalation ]])&lt;=1,"Fail",IF(MIN(Data_Table[[#This Row],[Priority Level]:[Effective escalation ]])=2,"Pass","Pass"))</f>
        <v>Pass</v>
      </c>
      <c r="AI77" s="2" t="str">
        <f>IF(Data_Table[[#This Row],[Business Critical PF]]="Fail",1,"")</f>
        <v/>
      </c>
      <c r="AJ77" s="5"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77"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77" s="5" t="str">
        <f>IF(Data_Table[[#This Row],[Attribute Fail Rate PF]]="Fail",1,"")</f>
        <v/>
      </c>
      <c r="AM77" s="5">
        <f>1</f>
        <v>1</v>
      </c>
      <c r="AN77" s="5" t="str">
        <f>IF(Data_Table[[#This Row],[Attribute Fail Rate PF]]="Fail",Data_Table[[#This Row],[Ticket ID]],"")</f>
        <v/>
      </c>
      <c r="AO77" s="5" t="str" cm="1">
        <f t="array" ref="AO77">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78" spans="1:41" ht="15" customHeight="1" x14ac:dyDescent="0.25">
      <c r="A78" s="10">
        <v>44866</v>
      </c>
      <c r="B78" s="1" t="s">
        <v>6</v>
      </c>
      <c r="C78" s="1">
        <f t="shared" si="2"/>
        <v>45</v>
      </c>
      <c r="D78" s="1">
        <f>MATCH(Data_Table[[#This Row],[Week]],_xlfn._xlws.SORT(_xlfn.UNIQUE(Data_Table[Week]),1,-1),0)</f>
        <v>3</v>
      </c>
      <c r="E78" s="1" t="str">
        <f>TEXT(Data_Table[[#This Row],[Date of the Ticket for Review]],"mmm")</f>
        <v>Nov</v>
      </c>
      <c r="F78" s="8">
        <v>874949</v>
      </c>
      <c r="G78" s="8" t="str">
        <f>VLOOKUP(F78,Agent_Table[],2,FALSE)</f>
        <v>Brianna Arrighi</v>
      </c>
      <c r="H78" s="8" t="str">
        <f>IFERROR(VLOOKUP(Data_Table[[#This Row],[Ticket ID]],Product_Table[],2,FALSE),"")</f>
        <v>Platforms &amp; API</v>
      </c>
      <c r="I78" s="3" t="s">
        <v>2</v>
      </c>
      <c r="J78" s="8">
        <v>3</v>
      </c>
      <c r="K78" s="8">
        <v>3</v>
      </c>
      <c r="L78" s="8">
        <v>3</v>
      </c>
      <c r="M78" s="8">
        <v>3</v>
      </c>
      <c r="N78" s="8">
        <v>3</v>
      </c>
      <c r="O78" s="8">
        <v>3</v>
      </c>
      <c r="P78" s="8">
        <v>3</v>
      </c>
      <c r="Q78" s="8">
        <v>3</v>
      </c>
      <c r="R78" s="5" t="s">
        <v>3</v>
      </c>
      <c r="S78" s="5" t="str">
        <f>IF(MIN(Data_Table[[#This Row],[Grammar &amp; Syntax ]:[Quality of First Response]])&lt;=1,"Fail",IF(MIN(Data_Table[[#This Row],[Grammar &amp; Syntax ]:[Quality of First Response]])=2,"Neutral","Pass"))</f>
        <v>Pass</v>
      </c>
      <c r="T78" s="5" t="str">
        <f>IF(MIN(Data_Table[[#This Row],[Grammar &amp; Syntax ]:[Quality of First Response]])&lt;=1,"Fail",IF(MIN(Data_Table[[#This Row],[Grammar &amp; Syntax ]:[Quality of First Response]])=2,"Pass","Pass"))</f>
        <v>Pass</v>
      </c>
      <c r="U78" s="5">
        <f>IF(Data_Table[[#This Row],[Compliance Critical PF]]="Fail",1,0)</f>
        <v>0</v>
      </c>
      <c r="V78" s="5"/>
      <c r="W78" s="8">
        <v>3</v>
      </c>
      <c r="X78" s="8">
        <v>3</v>
      </c>
      <c r="Y78" s="8">
        <v>2</v>
      </c>
      <c r="Z78" s="8">
        <v>3</v>
      </c>
      <c r="AA78" s="1" t="s">
        <v>12</v>
      </c>
      <c r="AB78" s="8">
        <v>3</v>
      </c>
      <c r="AC78" s="8">
        <v>3</v>
      </c>
      <c r="AD78" s="8">
        <v>3</v>
      </c>
      <c r="AE78" s="1" t="s">
        <v>12</v>
      </c>
      <c r="AF78" s="7" t="s">
        <v>32</v>
      </c>
      <c r="AG78" s="7" t="str">
        <f>IF(MIN(Data_Table[[#This Row],[Priority Level]:[Effective escalation ]])&lt;=1,"Fail",IF(MIN(Data_Table[[#This Row],[Priority Level]:[Effective escalation ]])=2,"Neutral","Pass"))</f>
        <v>Neutral</v>
      </c>
      <c r="AH78" s="2" t="str">
        <f>IF(MIN(Data_Table[[#This Row],[Priority Level]:[Effective escalation ]])&lt;=1,"Fail",IF(MIN(Data_Table[[#This Row],[Priority Level]:[Effective escalation ]])=2,"Pass","Pass"))</f>
        <v>Pass</v>
      </c>
      <c r="AI78" s="2" t="str">
        <f>IF(Data_Table[[#This Row],[Business Critical PF]]="Fail",1,"")</f>
        <v/>
      </c>
      <c r="AJ78" s="5" t="str">
        <f>IF(MIN(Data_Table[[#This Row],[Grammar &amp; Syntax ]:[Quality of First Response]],Data_Table[[#This Row],[Priority Level]:[Effective escalation ]])&lt;=1,"Fail",IF(MIN(Data_Table[[#This Row],[Grammar &amp; Syntax ]:[Quality of First Response]],Data_Table[[#This Row],[Priority Level]:[Effective escalation ]])=2,"Neutral","Pass"))</f>
        <v>Neutral</v>
      </c>
      <c r="AK78"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78" s="5" t="str">
        <f>IF(Data_Table[[#This Row],[Attribute Fail Rate PF]]="Fail",1,"")</f>
        <v/>
      </c>
      <c r="AM78" s="5">
        <f>1</f>
        <v>1</v>
      </c>
      <c r="AN78" s="5" t="str">
        <f>IF(Data_Table[[#This Row],[Attribute Fail Rate PF]]="Fail",Data_Table[[#This Row],[Ticket ID]],"")</f>
        <v/>
      </c>
      <c r="AO78" s="5" t="str" cm="1">
        <f t="array" ref="AO78">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79" spans="1:41" ht="15" customHeight="1" x14ac:dyDescent="0.25">
      <c r="A79" s="10">
        <v>44869</v>
      </c>
      <c r="B79" s="1" t="s">
        <v>6</v>
      </c>
      <c r="C79" s="1">
        <f t="shared" si="2"/>
        <v>45</v>
      </c>
      <c r="D79" s="1">
        <f>MATCH(Data_Table[[#This Row],[Week]],_xlfn._xlws.SORT(_xlfn.UNIQUE(Data_Table[Week]),1,-1),0)</f>
        <v>3</v>
      </c>
      <c r="E79" s="1" t="str">
        <f>TEXT(Data_Table[[#This Row],[Date of the Ticket for Review]],"mmm")</f>
        <v>Nov</v>
      </c>
      <c r="F79" s="8">
        <v>881211</v>
      </c>
      <c r="G79" s="8" t="str">
        <f>VLOOKUP(F79,Agent_Table[],2,FALSE)</f>
        <v>Nadia Ahmed</v>
      </c>
      <c r="H79" s="8" t="str">
        <f>IFERROR(VLOOKUP(Data_Table[[#This Row],[Ticket ID]],Product_Table[],2,FALSE),"")</f>
        <v>Platforms &amp; API</v>
      </c>
      <c r="I79" s="3" t="s">
        <v>2</v>
      </c>
      <c r="J79" s="8">
        <v>3</v>
      </c>
      <c r="K79" s="8">
        <v>3</v>
      </c>
      <c r="L79" s="8">
        <v>3</v>
      </c>
      <c r="M79" s="8">
        <v>3</v>
      </c>
      <c r="N79" s="8">
        <v>3</v>
      </c>
      <c r="O79" s="8">
        <v>3</v>
      </c>
      <c r="P79" s="8">
        <v>3</v>
      </c>
      <c r="Q79" s="8">
        <v>3</v>
      </c>
      <c r="R79" s="5" t="s">
        <v>3</v>
      </c>
      <c r="S79" s="5" t="str">
        <f>IF(MIN(Data_Table[[#This Row],[Grammar &amp; Syntax ]:[Quality of First Response]])&lt;=1,"Fail",IF(MIN(Data_Table[[#This Row],[Grammar &amp; Syntax ]:[Quality of First Response]])=2,"Neutral","Pass"))</f>
        <v>Pass</v>
      </c>
      <c r="T79" s="5" t="str">
        <f>IF(MIN(Data_Table[[#This Row],[Grammar &amp; Syntax ]:[Quality of First Response]])&lt;=1,"Fail",IF(MIN(Data_Table[[#This Row],[Grammar &amp; Syntax ]:[Quality of First Response]])=2,"Pass","Pass"))</f>
        <v>Pass</v>
      </c>
      <c r="U79" s="5">
        <f>IF(Data_Table[[#This Row],[Compliance Critical PF]]="Fail",1,0)</f>
        <v>0</v>
      </c>
      <c r="V79" s="5"/>
      <c r="W79" s="8">
        <v>3</v>
      </c>
      <c r="X79" s="8">
        <v>3</v>
      </c>
      <c r="Y79" s="8">
        <v>3</v>
      </c>
      <c r="Z79" s="8">
        <v>3</v>
      </c>
      <c r="AA79" s="1" t="s">
        <v>12</v>
      </c>
      <c r="AB79" s="8">
        <v>3</v>
      </c>
      <c r="AC79" s="8">
        <v>3</v>
      </c>
      <c r="AD79" s="8">
        <v>3</v>
      </c>
      <c r="AE79" s="1" t="s">
        <v>12</v>
      </c>
      <c r="AF79" s="7" t="s">
        <v>33</v>
      </c>
      <c r="AG79" s="7" t="str">
        <f>IF(MIN(Data_Table[[#This Row],[Priority Level]:[Effective escalation ]])&lt;=1,"Fail",IF(MIN(Data_Table[[#This Row],[Priority Level]:[Effective escalation ]])=2,"Neutral","Pass"))</f>
        <v>Pass</v>
      </c>
      <c r="AH79" s="2" t="str">
        <f>IF(MIN(Data_Table[[#This Row],[Priority Level]:[Effective escalation ]])&lt;=1,"Fail",IF(MIN(Data_Table[[#This Row],[Priority Level]:[Effective escalation ]])=2,"Pass","Pass"))</f>
        <v>Pass</v>
      </c>
      <c r="AI79" s="2" t="str">
        <f>IF(Data_Table[[#This Row],[Business Critical PF]]="Fail",1,"")</f>
        <v/>
      </c>
      <c r="AJ79" s="5"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79"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79" s="5" t="str">
        <f>IF(Data_Table[[#This Row],[Attribute Fail Rate PF]]="Fail",1,"")</f>
        <v/>
      </c>
      <c r="AM79" s="5">
        <f>1</f>
        <v>1</v>
      </c>
      <c r="AN79" s="5" t="str">
        <f>IF(Data_Table[[#This Row],[Attribute Fail Rate PF]]="Fail",Data_Table[[#This Row],[Ticket ID]],"")</f>
        <v/>
      </c>
      <c r="AO79" s="5" t="str" cm="1">
        <f t="array" ref="AO79">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80" spans="1:41" ht="15" customHeight="1" x14ac:dyDescent="0.25">
      <c r="A80" s="10">
        <v>44868</v>
      </c>
      <c r="B80" s="1" t="s">
        <v>6</v>
      </c>
      <c r="C80" s="1">
        <f t="shared" si="2"/>
        <v>45</v>
      </c>
      <c r="D80" s="1">
        <f>MATCH(Data_Table[[#This Row],[Week]],_xlfn._xlws.SORT(_xlfn.UNIQUE(Data_Table[Week]),1,-1),0)</f>
        <v>3</v>
      </c>
      <c r="E80" s="1" t="str">
        <f>TEXT(Data_Table[[#This Row],[Date of the Ticket for Review]],"mmm")</f>
        <v>Nov</v>
      </c>
      <c r="F80" s="8">
        <v>878294</v>
      </c>
      <c r="G80" s="8" t="str">
        <f>VLOOKUP(F80,Agent_Table[],2,FALSE)</f>
        <v>Nadia Ahmed</v>
      </c>
      <c r="H80" s="8" t="str">
        <f>IFERROR(VLOOKUP(Data_Table[[#This Row],[Ticket ID]],Product_Table[],2,FALSE),"")</f>
        <v>Performance &amp; Delivery</v>
      </c>
      <c r="I80" s="3" t="s">
        <v>2</v>
      </c>
      <c r="J80" s="8">
        <v>3</v>
      </c>
      <c r="K80" s="8">
        <v>3</v>
      </c>
      <c r="L80" s="8">
        <v>3</v>
      </c>
      <c r="M80" s="8">
        <v>3</v>
      </c>
      <c r="N80" s="8">
        <v>3</v>
      </c>
      <c r="O80" s="8">
        <v>3</v>
      </c>
      <c r="P80" s="8">
        <v>3</v>
      </c>
      <c r="Q80" s="8">
        <v>3</v>
      </c>
      <c r="R80" s="5" t="s">
        <v>3</v>
      </c>
      <c r="S80" s="5" t="str">
        <f>IF(MIN(Data_Table[[#This Row],[Grammar &amp; Syntax ]:[Quality of First Response]])&lt;=1,"Fail",IF(MIN(Data_Table[[#This Row],[Grammar &amp; Syntax ]:[Quality of First Response]])=2,"Neutral","Pass"))</f>
        <v>Pass</v>
      </c>
      <c r="T80" s="5" t="str">
        <f>IF(MIN(Data_Table[[#This Row],[Grammar &amp; Syntax ]:[Quality of First Response]])&lt;=1,"Fail",IF(MIN(Data_Table[[#This Row],[Grammar &amp; Syntax ]:[Quality of First Response]])=2,"Pass","Pass"))</f>
        <v>Pass</v>
      </c>
      <c r="U80" s="5">
        <f>IF(Data_Table[[#This Row],[Compliance Critical PF]]="Fail",1,0)</f>
        <v>0</v>
      </c>
      <c r="V80" s="5"/>
      <c r="W80" s="8">
        <v>3</v>
      </c>
      <c r="X80" s="8">
        <v>3</v>
      </c>
      <c r="Y80" s="8">
        <v>3</v>
      </c>
      <c r="Z80" s="8">
        <v>2</v>
      </c>
      <c r="AA80" s="1" t="s">
        <v>12</v>
      </c>
      <c r="AB80" s="8">
        <v>3</v>
      </c>
      <c r="AC80" s="8">
        <v>3</v>
      </c>
      <c r="AD80" s="8">
        <v>1</v>
      </c>
      <c r="AE80" s="1" t="s">
        <v>12</v>
      </c>
      <c r="AF80" s="7" t="s">
        <v>34</v>
      </c>
      <c r="AG80" s="7" t="str">
        <f>IF(MIN(Data_Table[[#This Row],[Priority Level]:[Effective escalation ]])&lt;=1,"Fail",IF(MIN(Data_Table[[#This Row],[Priority Level]:[Effective escalation ]])=2,"Neutral","Pass"))</f>
        <v>Fail</v>
      </c>
      <c r="AH80" s="2" t="str">
        <f>IF(MIN(Data_Table[[#This Row],[Priority Level]:[Effective escalation ]])&lt;=1,"Fail",IF(MIN(Data_Table[[#This Row],[Priority Level]:[Effective escalation ]])=2,"Pass","Pass"))</f>
        <v>Fail</v>
      </c>
      <c r="AI80" s="2">
        <f>IF(Data_Table[[#This Row],[Business Critical PF]]="Fail",1,"")</f>
        <v>1</v>
      </c>
      <c r="AJ80" s="5" t="str">
        <f>IF(MIN(Data_Table[[#This Row],[Grammar &amp; Syntax ]:[Quality of First Response]],Data_Table[[#This Row],[Priority Level]:[Effective escalation ]])&lt;=1,"Fail",IF(MIN(Data_Table[[#This Row],[Grammar &amp; Syntax ]:[Quality of First Response]],Data_Table[[#This Row],[Priority Level]:[Effective escalation ]])=2,"Neutral","Pass"))</f>
        <v>Fail</v>
      </c>
      <c r="AK80" s="5" t="str">
        <f>IF(MIN(Data_Table[[#This Row],[Grammar &amp; Syntax ]:[Quality of First Response]],Data_Table[[#This Row],[Priority Level]:[Effective escalation ]])&lt;=1,"Fail",IF(MIN(Data_Table[[#This Row],[Grammar &amp; Syntax ]:[Quality of First Response]],Data_Table[[#This Row],[Priority Level]:[Effective escalation ]])=2,"Pass","Pass"))</f>
        <v>Fail</v>
      </c>
      <c r="AL80" s="5">
        <f>IF(Data_Table[[#This Row],[Attribute Fail Rate PF]]="Fail",1,"")</f>
        <v>1</v>
      </c>
      <c r="AM80" s="5">
        <f>1</f>
        <v>1</v>
      </c>
      <c r="AN80" s="5">
        <f>IF(Data_Table[[#This Row],[Attribute Fail Rate PF]]="Fail",Data_Table[[#This Row],[Ticket ID]],"")</f>
        <v>878294</v>
      </c>
      <c r="AO80" s="5" t="str" cm="1">
        <f t="array" ref="AO80">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Resolution time</v>
      </c>
    </row>
    <row r="81" spans="1:41" ht="15" customHeight="1" x14ac:dyDescent="0.25">
      <c r="A81" s="10">
        <v>44868</v>
      </c>
      <c r="B81" s="1" t="s">
        <v>8</v>
      </c>
      <c r="C81" s="1">
        <f t="shared" si="2"/>
        <v>45</v>
      </c>
      <c r="D81" s="1">
        <f>MATCH(Data_Table[[#This Row],[Week]],_xlfn._xlws.SORT(_xlfn.UNIQUE(Data_Table[Week]),1,-1),0)</f>
        <v>3</v>
      </c>
      <c r="E81" s="1" t="str">
        <f>TEXT(Data_Table[[#This Row],[Date of the Ticket for Review]],"mmm")</f>
        <v>Nov</v>
      </c>
      <c r="F81" s="8">
        <v>878876</v>
      </c>
      <c r="G81" s="8" t="str">
        <f>VLOOKUP(F81,Agent_Table[],2,FALSE)</f>
        <v>Angelina Voon Suk Yung</v>
      </c>
      <c r="H81" s="8" t="str">
        <f>IFERROR(VLOOKUP(Data_Table[[#This Row],[Ticket ID]],Product_Table[],2,FALSE),"")</f>
        <v>Native Branding Ads</v>
      </c>
      <c r="I81" s="3" t="s">
        <v>2</v>
      </c>
      <c r="J81" s="8">
        <v>3</v>
      </c>
      <c r="K81" s="8">
        <v>3</v>
      </c>
      <c r="L81" s="8">
        <v>3</v>
      </c>
      <c r="M81" s="8">
        <v>3</v>
      </c>
      <c r="N81" s="8">
        <v>3</v>
      </c>
      <c r="O81" s="8">
        <v>3</v>
      </c>
      <c r="P81" s="8">
        <v>3</v>
      </c>
      <c r="Q81" s="8">
        <v>3</v>
      </c>
      <c r="R81" s="5" t="s">
        <v>3</v>
      </c>
      <c r="S81" s="5" t="str">
        <f>IF(MIN(Data_Table[[#This Row],[Grammar &amp; Syntax ]:[Quality of First Response]])&lt;=1,"Fail",IF(MIN(Data_Table[[#This Row],[Grammar &amp; Syntax ]:[Quality of First Response]])=2,"Neutral","Pass"))</f>
        <v>Pass</v>
      </c>
      <c r="T81" s="5" t="str">
        <f>IF(MIN(Data_Table[[#This Row],[Grammar &amp; Syntax ]:[Quality of First Response]])&lt;=1,"Fail",IF(MIN(Data_Table[[#This Row],[Grammar &amp; Syntax ]:[Quality of First Response]])=2,"Pass","Pass"))</f>
        <v>Pass</v>
      </c>
      <c r="U81" s="5">
        <f>IF(Data_Table[[#This Row],[Compliance Critical PF]]="Fail",1,0)</f>
        <v>0</v>
      </c>
      <c r="V81" s="5"/>
      <c r="W81" s="8">
        <v>3</v>
      </c>
      <c r="X81" s="8">
        <v>3</v>
      </c>
      <c r="Y81" s="8">
        <v>3</v>
      </c>
      <c r="Z81" s="8">
        <v>3</v>
      </c>
      <c r="AA81" s="1" t="s">
        <v>12</v>
      </c>
      <c r="AB81" s="8">
        <v>3</v>
      </c>
      <c r="AC81" s="8">
        <v>3</v>
      </c>
      <c r="AD81" s="8">
        <v>3</v>
      </c>
      <c r="AE81" s="8">
        <v>3</v>
      </c>
      <c r="AF81" s="7" t="s">
        <v>12</v>
      </c>
      <c r="AG81" s="7" t="str">
        <f>IF(MIN(Data_Table[[#This Row],[Priority Level]:[Effective escalation ]])&lt;=1,"Fail",IF(MIN(Data_Table[[#This Row],[Priority Level]:[Effective escalation ]])=2,"Neutral","Pass"))</f>
        <v>Pass</v>
      </c>
      <c r="AH81" s="2" t="str">
        <f>IF(MIN(Data_Table[[#This Row],[Priority Level]:[Effective escalation ]])&lt;=1,"Fail",IF(MIN(Data_Table[[#This Row],[Priority Level]:[Effective escalation ]])=2,"Pass","Pass"))</f>
        <v>Pass</v>
      </c>
      <c r="AI81" s="2" t="str">
        <f>IF(Data_Table[[#This Row],[Business Critical PF]]="Fail",1,"")</f>
        <v/>
      </c>
      <c r="AJ81" s="5"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81"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81" s="5" t="str">
        <f>IF(Data_Table[[#This Row],[Attribute Fail Rate PF]]="Fail",1,"")</f>
        <v/>
      </c>
      <c r="AM81" s="5">
        <f>1</f>
        <v>1</v>
      </c>
      <c r="AN81" s="5" t="str">
        <f>IF(Data_Table[[#This Row],[Attribute Fail Rate PF]]="Fail",Data_Table[[#This Row],[Ticket ID]],"")</f>
        <v/>
      </c>
      <c r="AO81" s="5" t="str" cm="1">
        <f t="array" ref="AO81">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82" spans="1:41" ht="15" customHeight="1" x14ac:dyDescent="0.25">
      <c r="A82" s="10">
        <v>44866</v>
      </c>
      <c r="B82" s="1" t="s">
        <v>6</v>
      </c>
      <c r="C82" s="1">
        <f t="shared" si="2"/>
        <v>45</v>
      </c>
      <c r="D82" s="1">
        <f>MATCH(Data_Table[[#This Row],[Week]],_xlfn._xlws.SORT(_xlfn.UNIQUE(Data_Table[Week]),1,-1),0)</f>
        <v>3</v>
      </c>
      <c r="E82" s="1" t="str">
        <f>TEXT(Data_Table[[#This Row],[Date of the Ticket for Review]],"mmm")</f>
        <v>Nov</v>
      </c>
      <c r="F82" s="8">
        <v>875087</v>
      </c>
      <c r="G82" s="8" t="str">
        <f>VLOOKUP(F82,Agent_Table[],2,FALSE)</f>
        <v>Ray Jones</v>
      </c>
      <c r="H82" s="8" t="str">
        <f>IFERROR(VLOOKUP(Data_Table[[#This Row],[Ticket ID]],Product_Table[],2,FALSE),"")</f>
        <v>Measurement</v>
      </c>
      <c r="I82" s="3" t="s">
        <v>2</v>
      </c>
      <c r="J82" s="8">
        <v>3</v>
      </c>
      <c r="K82" s="8">
        <v>3</v>
      </c>
      <c r="L82" s="8">
        <v>3</v>
      </c>
      <c r="M82" s="8">
        <v>3</v>
      </c>
      <c r="N82" s="8">
        <v>3</v>
      </c>
      <c r="O82" s="8">
        <v>3</v>
      </c>
      <c r="P82" s="8">
        <v>3</v>
      </c>
      <c r="Q82" s="8">
        <v>3</v>
      </c>
      <c r="R82" s="5" t="s">
        <v>3</v>
      </c>
      <c r="S82" s="5" t="str">
        <f>IF(MIN(Data_Table[[#This Row],[Grammar &amp; Syntax ]:[Quality of First Response]])&lt;=1,"Fail",IF(MIN(Data_Table[[#This Row],[Grammar &amp; Syntax ]:[Quality of First Response]])=2,"Neutral","Pass"))</f>
        <v>Pass</v>
      </c>
      <c r="T82" s="5" t="str">
        <f>IF(MIN(Data_Table[[#This Row],[Grammar &amp; Syntax ]:[Quality of First Response]])&lt;=1,"Fail",IF(MIN(Data_Table[[#This Row],[Grammar &amp; Syntax ]:[Quality of First Response]])=2,"Pass","Pass"))</f>
        <v>Pass</v>
      </c>
      <c r="U82" s="5">
        <f>IF(Data_Table[[#This Row],[Compliance Critical PF]]="Fail",1,0)</f>
        <v>0</v>
      </c>
      <c r="V82" s="5"/>
      <c r="W82" s="8">
        <v>3</v>
      </c>
      <c r="X82" s="8">
        <v>3</v>
      </c>
      <c r="Y82" s="8">
        <v>3</v>
      </c>
      <c r="Z82" s="8">
        <v>3</v>
      </c>
      <c r="AA82" s="1" t="s">
        <v>12</v>
      </c>
      <c r="AB82" s="1" t="s">
        <v>12</v>
      </c>
      <c r="AC82" s="8">
        <v>2</v>
      </c>
      <c r="AD82" s="8">
        <v>3</v>
      </c>
      <c r="AE82" s="1" t="s">
        <v>12</v>
      </c>
      <c r="AF82" s="7" t="s">
        <v>35</v>
      </c>
      <c r="AG82" s="7" t="str">
        <f>IF(MIN(Data_Table[[#This Row],[Priority Level]:[Effective escalation ]])&lt;=1,"Fail",IF(MIN(Data_Table[[#This Row],[Priority Level]:[Effective escalation ]])=2,"Neutral","Pass"))</f>
        <v>Neutral</v>
      </c>
      <c r="AH82" s="2" t="str">
        <f>IF(MIN(Data_Table[[#This Row],[Priority Level]:[Effective escalation ]])&lt;=1,"Fail",IF(MIN(Data_Table[[#This Row],[Priority Level]:[Effective escalation ]])=2,"Pass","Pass"))</f>
        <v>Pass</v>
      </c>
      <c r="AI82" s="2" t="str">
        <f>IF(Data_Table[[#This Row],[Business Critical PF]]="Fail",1,"")</f>
        <v/>
      </c>
      <c r="AJ82" s="5" t="str">
        <f>IF(MIN(Data_Table[[#This Row],[Grammar &amp; Syntax ]:[Quality of First Response]],Data_Table[[#This Row],[Priority Level]:[Effective escalation ]])&lt;=1,"Fail",IF(MIN(Data_Table[[#This Row],[Grammar &amp; Syntax ]:[Quality of First Response]],Data_Table[[#This Row],[Priority Level]:[Effective escalation ]])=2,"Neutral","Pass"))</f>
        <v>Neutral</v>
      </c>
      <c r="AK82"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82" s="5" t="str">
        <f>IF(Data_Table[[#This Row],[Attribute Fail Rate PF]]="Fail",1,"")</f>
        <v/>
      </c>
      <c r="AM82" s="5">
        <f>1</f>
        <v>1</v>
      </c>
      <c r="AN82" s="5" t="str">
        <f>IF(Data_Table[[#This Row],[Attribute Fail Rate PF]]="Fail",Data_Table[[#This Row],[Ticket ID]],"")</f>
        <v/>
      </c>
      <c r="AO82" s="5" t="str" cm="1">
        <f t="array" ref="AO82">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83" spans="1:41" ht="15" customHeight="1" x14ac:dyDescent="0.25">
      <c r="A83" s="10">
        <v>44868</v>
      </c>
      <c r="B83" s="1" t="s">
        <v>6</v>
      </c>
      <c r="C83" s="1">
        <f t="shared" si="2"/>
        <v>45</v>
      </c>
      <c r="D83" s="1">
        <f>MATCH(Data_Table[[#This Row],[Week]],_xlfn._xlws.SORT(_xlfn.UNIQUE(Data_Table[Week]),1,-1),0)</f>
        <v>3</v>
      </c>
      <c r="E83" s="1" t="str">
        <f>TEXT(Data_Table[[#This Row],[Date of the Ticket for Review]],"mmm")</f>
        <v>Nov</v>
      </c>
      <c r="F83" s="8">
        <v>878349</v>
      </c>
      <c r="G83" s="8" t="str">
        <f>VLOOKUP(F83,Agent_Table[],2,FALSE)</f>
        <v>Ray Jones</v>
      </c>
      <c r="H83" s="8" t="str">
        <f>IFERROR(VLOOKUP(Data_Table[[#This Row],[Ticket ID]],Product_Table[],2,FALSE),"")</f>
        <v>Measurement</v>
      </c>
      <c r="I83" s="3" t="s">
        <v>2</v>
      </c>
      <c r="J83" s="8">
        <v>3</v>
      </c>
      <c r="K83" s="8">
        <v>3</v>
      </c>
      <c r="L83" s="8">
        <v>3</v>
      </c>
      <c r="M83" s="8">
        <v>3</v>
      </c>
      <c r="N83" s="8">
        <v>3</v>
      </c>
      <c r="O83" s="8">
        <v>3</v>
      </c>
      <c r="P83" s="8">
        <v>3</v>
      </c>
      <c r="Q83" s="8">
        <v>3</v>
      </c>
      <c r="R83" s="5" t="s">
        <v>3</v>
      </c>
      <c r="S83" s="5" t="str">
        <f>IF(MIN(Data_Table[[#This Row],[Grammar &amp; Syntax ]:[Quality of First Response]])&lt;=1,"Fail",IF(MIN(Data_Table[[#This Row],[Grammar &amp; Syntax ]:[Quality of First Response]])=2,"Neutral","Pass"))</f>
        <v>Pass</v>
      </c>
      <c r="T83" s="5" t="str">
        <f>IF(MIN(Data_Table[[#This Row],[Grammar &amp; Syntax ]:[Quality of First Response]])&lt;=1,"Fail",IF(MIN(Data_Table[[#This Row],[Grammar &amp; Syntax ]:[Quality of First Response]])=2,"Pass","Pass"))</f>
        <v>Pass</v>
      </c>
      <c r="U83" s="5">
        <f>IF(Data_Table[[#This Row],[Compliance Critical PF]]="Fail",1,0)</f>
        <v>0</v>
      </c>
      <c r="V83" s="5"/>
      <c r="W83" s="8">
        <v>3</v>
      </c>
      <c r="X83" s="8">
        <v>3</v>
      </c>
      <c r="Y83" s="8">
        <v>3</v>
      </c>
      <c r="Z83" s="8">
        <v>3</v>
      </c>
      <c r="AA83" s="1" t="s">
        <v>12</v>
      </c>
      <c r="AB83" s="8">
        <v>3</v>
      </c>
      <c r="AC83" s="8">
        <v>3</v>
      </c>
      <c r="AD83" s="8">
        <v>3</v>
      </c>
      <c r="AE83" s="1" t="s">
        <v>12</v>
      </c>
      <c r="AF83" s="7" t="s">
        <v>36</v>
      </c>
      <c r="AG83" s="7" t="str">
        <f>IF(MIN(Data_Table[[#This Row],[Priority Level]:[Effective escalation ]])&lt;=1,"Fail",IF(MIN(Data_Table[[#This Row],[Priority Level]:[Effective escalation ]])=2,"Neutral","Pass"))</f>
        <v>Pass</v>
      </c>
      <c r="AH83" s="2" t="str">
        <f>IF(MIN(Data_Table[[#This Row],[Priority Level]:[Effective escalation ]])&lt;=1,"Fail",IF(MIN(Data_Table[[#This Row],[Priority Level]:[Effective escalation ]])=2,"Pass","Pass"))</f>
        <v>Pass</v>
      </c>
      <c r="AI83" s="2" t="str">
        <f>IF(Data_Table[[#This Row],[Business Critical PF]]="Fail",1,"")</f>
        <v/>
      </c>
      <c r="AJ83" s="5"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83"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83" s="5" t="str">
        <f>IF(Data_Table[[#This Row],[Attribute Fail Rate PF]]="Fail",1,"")</f>
        <v/>
      </c>
      <c r="AM83" s="5">
        <f>1</f>
        <v>1</v>
      </c>
      <c r="AN83" s="5" t="str">
        <f>IF(Data_Table[[#This Row],[Attribute Fail Rate PF]]="Fail",Data_Table[[#This Row],[Ticket ID]],"")</f>
        <v/>
      </c>
      <c r="AO83" s="5" t="str" cm="1">
        <f t="array" ref="AO83">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84" spans="1:41" ht="15" customHeight="1" x14ac:dyDescent="0.25">
      <c r="A84" s="10">
        <v>44869</v>
      </c>
      <c r="B84" s="1" t="s">
        <v>6</v>
      </c>
      <c r="C84" s="1">
        <f t="shared" si="2"/>
        <v>45</v>
      </c>
      <c r="D84" s="1">
        <f>MATCH(Data_Table[[#This Row],[Week]],_xlfn._xlws.SORT(_xlfn.UNIQUE(Data_Table[Week]),1,-1),0)</f>
        <v>3</v>
      </c>
      <c r="E84" s="1" t="str">
        <f>TEXT(Data_Table[[#This Row],[Date of the Ticket for Review]],"mmm")</f>
        <v>Nov</v>
      </c>
      <c r="F84" s="8">
        <v>879936</v>
      </c>
      <c r="G84" s="8" t="str">
        <f>VLOOKUP(F84,Agent_Table[],2,FALSE)</f>
        <v>Grant Gundersen</v>
      </c>
      <c r="H84" s="8" t="str">
        <f>IFERROR(VLOOKUP(Data_Table[[#This Row],[Ticket ID]],Product_Table[],2,FALSE),"")</f>
        <v>Platforms &amp; API</v>
      </c>
      <c r="I84" s="3" t="s">
        <v>2</v>
      </c>
      <c r="J84" s="8">
        <v>3</v>
      </c>
      <c r="K84" s="8">
        <v>3</v>
      </c>
      <c r="L84" s="8">
        <v>3</v>
      </c>
      <c r="M84" s="8">
        <v>3</v>
      </c>
      <c r="N84" s="8">
        <v>3</v>
      </c>
      <c r="O84" s="8">
        <v>3</v>
      </c>
      <c r="P84" s="8">
        <v>3</v>
      </c>
      <c r="Q84" s="8">
        <v>3</v>
      </c>
      <c r="R84" s="5" t="s">
        <v>3</v>
      </c>
      <c r="S84" s="5" t="str">
        <f>IF(MIN(Data_Table[[#This Row],[Grammar &amp; Syntax ]:[Quality of First Response]])&lt;=1,"Fail",IF(MIN(Data_Table[[#This Row],[Grammar &amp; Syntax ]:[Quality of First Response]])=2,"Neutral","Pass"))</f>
        <v>Pass</v>
      </c>
      <c r="T84" s="5" t="str">
        <f>IF(MIN(Data_Table[[#This Row],[Grammar &amp; Syntax ]:[Quality of First Response]])&lt;=1,"Fail",IF(MIN(Data_Table[[#This Row],[Grammar &amp; Syntax ]:[Quality of First Response]])=2,"Pass","Pass"))</f>
        <v>Pass</v>
      </c>
      <c r="U84" s="5">
        <f>IF(Data_Table[[#This Row],[Compliance Critical PF]]="Fail",1,0)</f>
        <v>0</v>
      </c>
      <c r="V84" s="5"/>
      <c r="W84" s="8">
        <v>3</v>
      </c>
      <c r="X84" s="8">
        <v>3</v>
      </c>
      <c r="Y84" s="8">
        <v>3</v>
      </c>
      <c r="Z84" s="8">
        <v>2</v>
      </c>
      <c r="AA84" s="1" t="s">
        <v>12</v>
      </c>
      <c r="AB84" s="8">
        <v>3</v>
      </c>
      <c r="AC84" s="8">
        <v>3</v>
      </c>
      <c r="AD84" s="8">
        <v>3</v>
      </c>
      <c r="AE84" s="1" t="s">
        <v>12</v>
      </c>
      <c r="AF84" s="7" t="s">
        <v>37</v>
      </c>
      <c r="AG84" s="7" t="str">
        <f>IF(MIN(Data_Table[[#This Row],[Priority Level]:[Effective escalation ]])&lt;=1,"Fail",IF(MIN(Data_Table[[#This Row],[Priority Level]:[Effective escalation ]])=2,"Neutral","Pass"))</f>
        <v>Neutral</v>
      </c>
      <c r="AH84" s="2" t="str">
        <f>IF(MIN(Data_Table[[#This Row],[Priority Level]:[Effective escalation ]])&lt;=1,"Fail",IF(MIN(Data_Table[[#This Row],[Priority Level]:[Effective escalation ]])=2,"Pass","Pass"))</f>
        <v>Pass</v>
      </c>
      <c r="AI84" s="2" t="str">
        <f>IF(Data_Table[[#This Row],[Business Critical PF]]="Fail",1,"")</f>
        <v/>
      </c>
      <c r="AJ84" s="5" t="str">
        <f>IF(MIN(Data_Table[[#This Row],[Grammar &amp; Syntax ]:[Quality of First Response]],Data_Table[[#This Row],[Priority Level]:[Effective escalation ]])&lt;=1,"Fail",IF(MIN(Data_Table[[#This Row],[Grammar &amp; Syntax ]:[Quality of First Response]],Data_Table[[#This Row],[Priority Level]:[Effective escalation ]])=2,"Neutral","Pass"))</f>
        <v>Neutral</v>
      </c>
      <c r="AK84"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84" s="5" t="str">
        <f>IF(Data_Table[[#This Row],[Attribute Fail Rate PF]]="Fail",1,"")</f>
        <v/>
      </c>
      <c r="AM84" s="5">
        <f>1</f>
        <v>1</v>
      </c>
      <c r="AN84" s="5" t="str">
        <f>IF(Data_Table[[#This Row],[Attribute Fail Rate PF]]="Fail",Data_Table[[#This Row],[Ticket ID]],"")</f>
        <v/>
      </c>
      <c r="AO84" s="5" t="str" cm="1">
        <f t="array" ref="AO84">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85" spans="1:41" ht="15" customHeight="1" x14ac:dyDescent="0.25">
      <c r="A85" s="10">
        <v>44866</v>
      </c>
      <c r="B85" s="1" t="s">
        <v>6</v>
      </c>
      <c r="C85" s="1">
        <f t="shared" si="2"/>
        <v>45</v>
      </c>
      <c r="D85" s="1">
        <f>MATCH(Data_Table[[#This Row],[Week]],_xlfn._xlws.SORT(_xlfn.UNIQUE(Data_Table[Week]),1,-1),0)</f>
        <v>3</v>
      </c>
      <c r="E85" s="1" t="str">
        <f>TEXT(Data_Table[[#This Row],[Date of the Ticket for Review]],"mmm")</f>
        <v>Nov</v>
      </c>
      <c r="F85" s="8">
        <v>874769</v>
      </c>
      <c r="G85" s="8" t="str">
        <f>VLOOKUP(F85,Agent_Table[],2,FALSE)</f>
        <v>Grant Gundersen</v>
      </c>
      <c r="H85" s="8" t="str">
        <f>IFERROR(VLOOKUP(Data_Table[[#This Row],[Ticket ID]],Product_Table[],2,FALSE),"")</f>
        <v>Performance &amp; Delivery</v>
      </c>
      <c r="I85" s="3" t="s">
        <v>2</v>
      </c>
      <c r="J85" s="8">
        <v>3</v>
      </c>
      <c r="K85" s="8">
        <v>3</v>
      </c>
      <c r="L85" s="8">
        <v>3</v>
      </c>
      <c r="M85" s="8">
        <v>3</v>
      </c>
      <c r="N85" s="8">
        <v>3</v>
      </c>
      <c r="O85" s="8">
        <v>3</v>
      </c>
      <c r="P85" s="8">
        <v>3</v>
      </c>
      <c r="Q85" s="8">
        <v>3</v>
      </c>
      <c r="R85" s="5" t="s">
        <v>3</v>
      </c>
      <c r="S85" s="5" t="str">
        <f>IF(MIN(Data_Table[[#This Row],[Grammar &amp; Syntax ]:[Quality of First Response]])&lt;=1,"Fail",IF(MIN(Data_Table[[#This Row],[Grammar &amp; Syntax ]:[Quality of First Response]])=2,"Neutral","Pass"))</f>
        <v>Pass</v>
      </c>
      <c r="T85" s="5" t="str">
        <f>IF(MIN(Data_Table[[#This Row],[Grammar &amp; Syntax ]:[Quality of First Response]])&lt;=1,"Fail",IF(MIN(Data_Table[[#This Row],[Grammar &amp; Syntax ]:[Quality of First Response]])=2,"Pass","Pass"))</f>
        <v>Pass</v>
      </c>
      <c r="U85" s="5">
        <f>IF(Data_Table[[#This Row],[Compliance Critical PF]]="Fail",1,0)</f>
        <v>0</v>
      </c>
      <c r="V85" s="5"/>
      <c r="W85" s="8">
        <v>3</v>
      </c>
      <c r="X85" s="8">
        <v>3</v>
      </c>
      <c r="Y85" s="8">
        <v>3</v>
      </c>
      <c r="Z85" s="8">
        <v>2</v>
      </c>
      <c r="AA85" s="1" t="s">
        <v>12</v>
      </c>
      <c r="AB85" s="8">
        <v>3</v>
      </c>
      <c r="AC85" s="8">
        <v>3</v>
      </c>
      <c r="AD85" s="8">
        <v>2</v>
      </c>
      <c r="AE85" s="1" t="s">
        <v>12</v>
      </c>
      <c r="AF85" s="7" t="s">
        <v>38</v>
      </c>
      <c r="AG85" s="7" t="str">
        <f>IF(MIN(Data_Table[[#This Row],[Priority Level]:[Effective escalation ]])&lt;=1,"Fail",IF(MIN(Data_Table[[#This Row],[Priority Level]:[Effective escalation ]])=2,"Neutral","Pass"))</f>
        <v>Neutral</v>
      </c>
      <c r="AH85" s="2" t="str">
        <f>IF(MIN(Data_Table[[#This Row],[Priority Level]:[Effective escalation ]])&lt;=1,"Fail",IF(MIN(Data_Table[[#This Row],[Priority Level]:[Effective escalation ]])=2,"Pass","Pass"))</f>
        <v>Pass</v>
      </c>
      <c r="AI85" s="2" t="str">
        <f>IF(Data_Table[[#This Row],[Business Critical PF]]="Fail",1,"")</f>
        <v/>
      </c>
      <c r="AJ85" s="5" t="str">
        <f>IF(MIN(Data_Table[[#This Row],[Grammar &amp; Syntax ]:[Quality of First Response]],Data_Table[[#This Row],[Priority Level]:[Effective escalation ]])&lt;=1,"Fail",IF(MIN(Data_Table[[#This Row],[Grammar &amp; Syntax ]:[Quality of First Response]],Data_Table[[#This Row],[Priority Level]:[Effective escalation ]])=2,"Neutral","Pass"))</f>
        <v>Neutral</v>
      </c>
      <c r="AK85"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85" s="5" t="str">
        <f>IF(Data_Table[[#This Row],[Attribute Fail Rate PF]]="Fail",1,"")</f>
        <v/>
      </c>
      <c r="AM85" s="5">
        <f>1</f>
        <v>1</v>
      </c>
      <c r="AN85" s="5" t="str">
        <f>IF(Data_Table[[#This Row],[Attribute Fail Rate PF]]="Fail",Data_Table[[#This Row],[Ticket ID]],"")</f>
        <v/>
      </c>
      <c r="AO85" s="5" t="str" cm="1">
        <f t="array" ref="AO85">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86" spans="1:41" ht="15" customHeight="1" x14ac:dyDescent="0.25">
      <c r="A86" s="10">
        <v>44867</v>
      </c>
      <c r="B86" s="1" t="s">
        <v>4</v>
      </c>
      <c r="C86" s="1">
        <f t="shared" si="2"/>
        <v>45</v>
      </c>
      <c r="D86" s="1">
        <f>MATCH(Data_Table[[#This Row],[Week]],_xlfn._xlws.SORT(_xlfn.UNIQUE(Data_Table[Week]),1,-1),0)</f>
        <v>3</v>
      </c>
      <c r="E86" s="1" t="str">
        <f>TEXT(Data_Table[[#This Row],[Date of the Ticket for Review]],"mmm")</f>
        <v>Nov</v>
      </c>
      <c r="F86" s="8">
        <v>877812</v>
      </c>
      <c r="G86" s="8" t="str">
        <f>VLOOKUP(F86,Agent_Table[],2,FALSE)</f>
        <v>Rupesh Vaswani</v>
      </c>
      <c r="H86" s="8" t="str">
        <f>IFERROR(VLOOKUP(Data_Table[[#This Row],[Ticket ID]],Product_Table[],2,FALSE),"")</f>
        <v>Measurement</v>
      </c>
      <c r="I86" s="3" t="s">
        <v>2</v>
      </c>
      <c r="J86" s="8">
        <v>3</v>
      </c>
      <c r="K86" s="8">
        <v>3</v>
      </c>
      <c r="L86" s="8">
        <v>3</v>
      </c>
      <c r="M86" s="8">
        <v>3</v>
      </c>
      <c r="N86" s="8">
        <v>3</v>
      </c>
      <c r="O86" s="8">
        <v>3</v>
      </c>
      <c r="P86" s="8">
        <v>3</v>
      </c>
      <c r="Q86" s="8">
        <v>3</v>
      </c>
      <c r="R86" s="5" t="s">
        <v>3</v>
      </c>
      <c r="S86" s="5" t="str">
        <f>IF(MIN(Data_Table[[#This Row],[Grammar &amp; Syntax ]:[Quality of First Response]])&lt;=1,"Fail",IF(MIN(Data_Table[[#This Row],[Grammar &amp; Syntax ]:[Quality of First Response]])=2,"Neutral","Pass"))</f>
        <v>Pass</v>
      </c>
      <c r="T86" s="5" t="str">
        <f>IF(MIN(Data_Table[[#This Row],[Grammar &amp; Syntax ]:[Quality of First Response]])&lt;=1,"Fail",IF(MIN(Data_Table[[#This Row],[Grammar &amp; Syntax ]:[Quality of First Response]])=2,"Pass","Pass"))</f>
        <v>Pass</v>
      </c>
      <c r="U86" s="5">
        <f>IF(Data_Table[[#This Row],[Compliance Critical PF]]="Fail",1,0)</f>
        <v>0</v>
      </c>
      <c r="V86" s="5"/>
      <c r="W86" s="8">
        <v>3</v>
      </c>
      <c r="X86" s="8">
        <v>3</v>
      </c>
      <c r="Y86" s="8">
        <v>3</v>
      </c>
      <c r="Z86" s="8">
        <v>3</v>
      </c>
      <c r="AA86" s="1" t="s">
        <v>12</v>
      </c>
      <c r="AB86" s="8">
        <v>3</v>
      </c>
      <c r="AC86" s="8">
        <v>3</v>
      </c>
      <c r="AD86" s="8">
        <v>3</v>
      </c>
      <c r="AE86" s="1" t="s">
        <v>12</v>
      </c>
      <c r="AF86" s="7" t="s">
        <v>12</v>
      </c>
      <c r="AG86" s="7" t="str">
        <f>IF(MIN(Data_Table[[#This Row],[Priority Level]:[Effective escalation ]])&lt;=1,"Fail",IF(MIN(Data_Table[[#This Row],[Priority Level]:[Effective escalation ]])=2,"Neutral","Pass"))</f>
        <v>Pass</v>
      </c>
      <c r="AH86" s="2" t="str">
        <f>IF(MIN(Data_Table[[#This Row],[Priority Level]:[Effective escalation ]])&lt;=1,"Fail",IF(MIN(Data_Table[[#This Row],[Priority Level]:[Effective escalation ]])=2,"Pass","Pass"))</f>
        <v>Pass</v>
      </c>
      <c r="AI86" s="2" t="str">
        <f>IF(Data_Table[[#This Row],[Business Critical PF]]="Fail",1,"")</f>
        <v/>
      </c>
      <c r="AJ86" s="5"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86"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86" s="5" t="str">
        <f>IF(Data_Table[[#This Row],[Attribute Fail Rate PF]]="Fail",1,"")</f>
        <v/>
      </c>
      <c r="AM86" s="5">
        <f>1</f>
        <v>1</v>
      </c>
      <c r="AN86" s="5" t="str">
        <f>IF(Data_Table[[#This Row],[Attribute Fail Rate PF]]="Fail",Data_Table[[#This Row],[Ticket ID]],"")</f>
        <v/>
      </c>
      <c r="AO86" s="5" t="str" cm="1">
        <f t="array" ref="AO86">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87" spans="1:41" ht="15" customHeight="1" x14ac:dyDescent="0.25">
      <c r="A87" s="10">
        <v>44865</v>
      </c>
      <c r="B87" s="1" t="s">
        <v>4</v>
      </c>
      <c r="C87" s="1">
        <f t="shared" si="2"/>
        <v>45</v>
      </c>
      <c r="D87" s="1">
        <f>MATCH(Data_Table[[#This Row],[Week]],_xlfn._xlws.SORT(_xlfn.UNIQUE(Data_Table[Week]),1,-1),0)</f>
        <v>3</v>
      </c>
      <c r="E87" s="1" t="str">
        <f>TEXT(Data_Table[[#This Row],[Date of the Ticket for Review]],"mmm")</f>
        <v>Oct</v>
      </c>
      <c r="F87" s="8">
        <v>874255</v>
      </c>
      <c r="G87" s="8" t="str">
        <f>VLOOKUP(F87,Agent_Table[],2,FALSE)</f>
        <v>Rupesh Vaswani</v>
      </c>
      <c r="H87" s="8" t="str">
        <f>IFERROR(VLOOKUP(Data_Table[[#This Row],[Ticket ID]],Product_Table[],2,FALSE),"")</f>
        <v>Platforms &amp; API</v>
      </c>
      <c r="I87" s="3" t="s">
        <v>2</v>
      </c>
      <c r="J87" s="8">
        <v>3</v>
      </c>
      <c r="K87" s="8">
        <v>3</v>
      </c>
      <c r="L87" s="8">
        <v>3</v>
      </c>
      <c r="M87" s="8">
        <v>3</v>
      </c>
      <c r="N87" s="8">
        <v>3</v>
      </c>
      <c r="O87" s="8">
        <v>3</v>
      </c>
      <c r="P87" s="8">
        <v>3</v>
      </c>
      <c r="Q87" s="8">
        <v>3</v>
      </c>
      <c r="R87" s="5" t="s">
        <v>3</v>
      </c>
      <c r="S87" s="5" t="str">
        <f>IF(MIN(Data_Table[[#This Row],[Grammar &amp; Syntax ]:[Quality of First Response]])&lt;=1,"Fail",IF(MIN(Data_Table[[#This Row],[Grammar &amp; Syntax ]:[Quality of First Response]])=2,"Neutral","Pass"))</f>
        <v>Pass</v>
      </c>
      <c r="T87" s="5" t="str">
        <f>IF(MIN(Data_Table[[#This Row],[Grammar &amp; Syntax ]:[Quality of First Response]])&lt;=1,"Fail",IF(MIN(Data_Table[[#This Row],[Grammar &amp; Syntax ]:[Quality of First Response]])=2,"Pass","Pass"))</f>
        <v>Pass</v>
      </c>
      <c r="U87" s="5">
        <f>IF(Data_Table[[#This Row],[Compliance Critical PF]]="Fail",1,0)</f>
        <v>0</v>
      </c>
      <c r="V87" s="5"/>
      <c r="W87" s="8">
        <v>3</v>
      </c>
      <c r="X87" s="8">
        <v>3</v>
      </c>
      <c r="Y87" s="8">
        <v>3</v>
      </c>
      <c r="Z87" s="8">
        <v>3</v>
      </c>
      <c r="AA87" s="1" t="s">
        <v>12</v>
      </c>
      <c r="AB87" s="8">
        <v>3</v>
      </c>
      <c r="AC87" s="8">
        <v>3</v>
      </c>
      <c r="AD87" s="8">
        <v>3</v>
      </c>
      <c r="AE87" s="1" t="s">
        <v>12</v>
      </c>
      <c r="AF87" s="7" t="s">
        <v>12</v>
      </c>
      <c r="AG87" s="7" t="str">
        <f>IF(MIN(Data_Table[[#This Row],[Priority Level]:[Effective escalation ]])&lt;=1,"Fail",IF(MIN(Data_Table[[#This Row],[Priority Level]:[Effective escalation ]])=2,"Neutral","Pass"))</f>
        <v>Pass</v>
      </c>
      <c r="AH87" s="2" t="str">
        <f>IF(MIN(Data_Table[[#This Row],[Priority Level]:[Effective escalation ]])&lt;=1,"Fail",IF(MIN(Data_Table[[#This Row],[Priority Level]:[Effective escalation ]])=2,"Pass","Pass"))</f>
        <v>Pass</v>
      </c>
      <c r="AI87" s="2" t="str">
        <f>IF(Data_Table[[#This Row],[Business Critical PF]]="Fail",1,"")</f>
        <v/>
      </c>
      <c r="AJ87" s="5"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87"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87" s="5" t="str">
        <f>IF(Data_Table[[#This Row],[Attribute Fail Rate PF]]="Fail",1,"")</f>
        <v/>
      </c>
      <c r="AM87" s="5">
        <f>1</f>
        <v>1</v>
      </c>
      <c r="AN87" s="5" t="str">
        <f>IF(Data_Table[[#This Row],[Attribute Fail Rate PF]]="Fail",Data_Table[[#This Row],[Ticket ID]],"")</f>
        <v/>
      </c>
      <c r="AO87" s="5" t="str" cm="1">
        <f t="array" ref="AO87">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88" spans="1:41" ht="15" customHeight="1" x14ac:dyDescent="0.25">
      <c r="A88" s="10">
        <v>44867</v>
      </c>
      <c r="B88" s="1" t="s">
        <v>4</v>
      </c>
      <c r="C88" s="1">
        <f t="shared" si="2"/>
        <v>45</v>
      </c>
      <c r="D88" s="1">
        <f>MATCH(Data_Table[[#This Row],[Week]],_xlfn._xlws.SORT(_xlfn.UNIQUE(Data_Table[Week]),1,-1),0)</f>
        <v>3</v>
      </c>
      <c r="E88" s="1" t="str">
        <f>TEXT(Data_Table[[#This Row],[Date of the Ticket for Review]],"mmm")</f>
        <v>Nov</v>
      </c>
      <c r="F88" s="8">
        <v>877496</v>
      </c>
      <c r="G88" s="8" t="str">
        <f>VLOOKUP(F88,Agent_Table[],2,FALSE)</f>
        <v>Islam Ghiboub</v>
      </c>
      <c r="H88" s="8" t="str">
        <f>IFERROR(VLOOKUP(Data_Table[[#This Row],[Ticket ID]],Product_Table[],2,FALSE),"")</f>
        <v>Platforms &amp; API</v>
      </c>
      <c r="I88" s="3" t="s">
        <v>2</v>
      </c>
      <c r="J88" s="8">
        <v>3</v>
      </c>
      <c r="K88" s="8">
        <v>3</v>
      </c>
      <c r="L88" s="8">
        <v>3</v>
      </c>
      <c r="M88" s="8">
        <v>3</v>
      </c>
      <c r="N88" s="8">
        <v>3</v>
      </c>
      <c r="O88" s="8">
        <v>3</v>
      </c>
      <c r="P88" s="8">
        <v>3</v>
      </c>
      <c r="Q88" s="8">
        <v>3</v>
      </c>
      <c r="R88" s="5" t="s">
        <v>3</v>
      </c>
      <c r="S88" s="5" t="str">
        <f>IF(MIN(Data_Table[[#This Row],[Grammar &amp; Syntax ]:[Quality of First Response]])&lt;=1,"Fail",IF(MIN(Data_Table[[#This Row],[Grammar &amp; Syntax ]:[Quality of First Response]])=2,"Neutral","Pass"))</f>
        <v>Pass</v>
      </c>
      <c r="T88" s="5" t="str">
        <f>IF(MIN(Data_Table[[#This Row],[Grammar &amp; Syntax ]:[Quality of First Response]])&lt;=1,"Fail",IF(MIN(Data_Table[[#This Row],[Grammar &amp; Syntax ]:[Quality of First Response]])=2,"Pass","Pass"))</f>
        <v>Pass</v>
      </c>
      <c r="U88" s="5">
        <f>IF(Data_Table[[#This Row],[Compliance Critical PF]]="Fail",1,0)</f>
        <v>0</v>
      </c>
      <c r="V88" s="5"/>
      <c r="W88" s="8">
        <v>3</v>
      </c>
      <c r="X88" s="8">
        <v>3</v>
      </c>
      <c r="Y88" s="8">
        <v>3</v>
      </c>
      <c r="Z88" s="8">
        <v>3</v>
      </c>
      <c r="AA88" s="1" t="s">
        <v>12</v>
      </c>
      <c r="AB88" s="8">
        <v>3</v>
      </c>
      <c r="AC88" s="8">
        <v>3</v>
      </c>
      <c r="AD88" s="8">
        <v>3</v>
      </c>
      <c r="AE88" s="1" t="s">
        <v>12</v>
      </c>
      <c r="AF88" s="7" t="s">
        <v>12</v>
      </c>
      <c r="AG88" s="7" t="str">
        <f>IF(MIN(Data_Table[[#This Row],[Priority Level]:[Effective escalation ]])&lt;=1,"Fail",IF(MIN(Data_Table[[#This Row],[Priority Level]:[Effective escalation ]])=2,"Neutral","Pass"))</f>
        <v>Pass</v>
      </c>
      <c r="AH88" s="2" t="str">
        <f>IF(MIN(Data_Table[[#This Row],[Priority Level]:[Effective escalation ]])&lt;=1,"Fail",IF(MIN(Data_Table[[#This Row],[Priority Level]:[Effective escalation ]])=2,"Pass","Pass"))</f>
        <v>Pass</v>
      </c>
      <c r="AI88" s="2" t="str">
        <f>IF(Data_Table[[#This Row],[Business Critical PF]]="Fail",1,"")</f>
        <v/>
      </c>
      <c r="AJ88" s="5"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88"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88" s="5" t="str">
        <f>IF(Data_Table[[#This Row],[Attribute Fail Rate PF]]="Fail",1,"")</f>
        <v/>
      </c>
      <c r="AM88" s="5">
        <f>1</f>
        <v>1</v>
      </c>
      <c r="AN88" s="5" t="str">
        <f>IF(Data_Table[[#This Row],[Attribute Fail Rate PF]]="Fail",Data_Table[[#This Row],[Ticket ID]],"")</f>
        <v/>
      </c>
      <c r="AO88" s="5" t="str" cm="1">
        <f t="array" ref="AO88">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89" spans="1:41" ht="15" customHeight="1" x14ac:dyDescent="0.25">
      <c r="A89" s="10">
        <v>44866</v>
      </c>
      <c r="B89" s="1" t="s">
        <v>4</v>
      </c>
      <c r="C89" s="1">
        <f t="shared" si="2"/>
        <v>45</v>
      </c>
      <c r="D89" s="1">
        <f>MATCH(Data_Table[[#This Row],[Week]],_xlfn._xlws.SORT(_xlfn.UNIQUE(Data_Table[Week]),1,-1),0)</f>
        <v>3</v>
      </c>
      <c r="E89" s="1" t="str">
        <f>TEXT(Data_Table[[#This Row],[Date of the Ticket for Review]],"mmm")</f>
        <v>Nov</v>
      </c>
      <c r="F89" s="8">
        <v>875823</v>
      </c>
      <c r="G89" s="8" t="str">
        <f>VLOOKUP(F89,Agent_Table[],2,FALSE)</f>
        <v>Islam Ghiboub</v>
      </c>
      <c r="H89" s="8" t="str">
        <f>IFERROR(VLOOKUP(Data_Table[[#This Row],[Ticket ID]],Product_Table[],2,FALSE),"")</f>
        <v/>
      </c>
      <c r="I89" s="3" t="s">
        <v>2</v>
      </c>
      <c r="J89" s="8">
        <v>3</v>
      </c>
      <c r="K89" s="8">
        <v>3</v>
      </c>
      <c r="L89" s="8">
        <v>3</v>
      </c>
      <c r="M89" s="8">
        <v>3</v>
      </c>
      <c r="N89" s="8">
        <v>3</v>
      </c>
      <c r="O89" s="8">
        <v>3</v>
      </c>
      <c r="P89" s="8">
        <v>3</v>
      </c>
      <c r="Q89" s="8">
        <v>3</v>
      </c>
      <c r="R89" s="5" t="s">
        <v>3</v>
      </c>
      <c r="S89" s="5" t="str">
        <f>IF(MIN(Data_Table[[#This Row],[Grammar &amp; Syntax ]:[Quality of First Response]])&lt;=1,"Fail",IF(MIN(Data_Table[[#This Row],[Grammar &amp; Syntax ]:[Quality of First Response]])=2,"Neutral","Pass"))</f>
        <v>Pass</v>
      </c>
      <c r="T89" s="5" t="str">
        <f>IF(MIN(Data_Table[[#This Row],[Grammar &amp; Syntax ]:[Quality of First Response]])&lt;=1,"Fail",IF(MIN(Data_Table[[#This Row],[Grammar &amp; Syntax ]:[Quality of First Response]])=2,"Pass","Pass"))</f>
        <v>Pass</v>
      </c>
      <c r="U89" s="5">
        <f>IF(Data_Table[[#This Row],[Compliance Critical PF]]="Fail",1,0)</f>
        <v>0</v>
      </c>
      <c r="V89" s="5"/>
      <c r="W89" s="1" t="s">
        <v>27</v>
      </c>
      <c r="X89" s="1" t="s">
        <v>27</v>
      </c>
      <c r="Y89" s="1" t="s">
        <v>27</v>
      </c>
      <c r="Z89" s="1" t="s">
        <v>27</v>
      </c>
      <c r="AA89" s="1" t="s">
        <v>27</v>
      </c>
      <c r="AB89" s="1" t="s">
        <v>27</v>
      </c>
      <c r="AC89" s="1" t="s">
        <v>27</v>
      </c>
      <c r="AD89" s="1" t="s">
        <v>27</v>
      </c>
      <c r="AE89" s="1" t="s">
        <v>27</v>
      </c>
      <c r="AF89" s="7" t="s">
        <v>27</v>
      </c>
      <c r="AG89" s="7" t="str">
        <f>IF(MIN(Data_Table[[#This Row],[Priority Level]:[Effective escalation ]])&lt;=1,"Fail",IF(MIN(Data_Table[[#This Row],[Priority Level]:[Effective escalation ]])=2,"Neutral","Pass"))</f>
        <v>Fail</v>
      </c>
      <c r="AH89" s="2" t="str">
        <f>IF(MIN(Data_Table[[#This Row],[Priority Level]:[Effective escalation ]])&lt;=1,"Fail",IF(MIN(Data_Table[[#This Row],[Priority Level]:[Effective escalation ]])=2,"Pass","Pass"))</f>
        <v>Fail</v>
      </c>
      <c r="AI89" s="2">
        <f>IF(Data_Table[[#This Row],[Business Critical PF]]="Fail",1,"")</f>
        <v>1</v>
      </c>
      <c r="AJ89" s="5"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89"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89" s="5" t="str">
        <f>IF(Data_Table[[#This Row],[Attribute Fail Rate PF]]="Fail",1,"")</f>
        <v/>
      </c>
      <c r="AM89" s="5">
        <f>1</f>
        <v>1</v>
      </c>
      <c r="AN89" s="5" t="str">
        <f>IF(Data_Table[[#This Row],[Attribute Fail Rate PF]]="Fail",Data_Table[[#This Row],[Ticket ID]],"")</f>
        <v/>
      </c>
      <c r="AO89" s="5" t="str" cm="1">
        <f t="array" ref="AO89">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90" spans="1:41" ht="15" customHeight="1" x14ac:dyDescent="0.25">
      <c r="A90" s="10">
        <v>44869</v>
      </c>
      <c r="B90" s="1" t="s">
        <v>4</v>
      </c>
      <c r="C90" s="1">
        <f t="shared" si="2"/>
        <v>45</v>
      </c>
      <c r="D90" s="1">
        <f>MATCH(Data_Table[[#This Row],[Week]],_xlfn._xlws.SORT(_xlfn.UNIQUE(Data_Table[Week]),1,-1),0)</f>
        <v>3</v>
      </c>
      <c r="E90" s="1" t="str">
        <f>TEXT(Data_Table[[#This Row],[Date of the Ticket for Review]],"mmm")</f>
        <v>Nov</v>
      </c>
      <c r="F90" s="8">
        <v>881059</v>
      </c>
      <c r="G90" s="8" t="str">
        <f>VLOOKUP(F90,Agent_Table[],2,FALSE)</f>
        <v>Aldrin Sneha Priyanka</v>
      </c>
      <c r="H90" s="8" t="str">
        <f>IFERROR(VLOOKUP(Data_Table[[#This Row],[Ticket ID]],Product_Table[],2,FALSE),"")</f>
        <v>Platforms &amp; API</v>
      </c>
      <c r="I90" s="3" t="s">
        <v>2</v>
      </c>
      <c r="J90" s="8">
        <v>3</v>
      </c>
      <c r="K90" s="8">
        <v>3</v>
      </c>
      <c r="L90" s="8">
        <v>3</v>
      </c>
      <c r="M90" s="8">
        <v>3</v>
      </c>
      <c r="N90" s="8">
        <v>3</v>
      </c>
      <c r="O90" s="8">
        <v>1</v>
      </c>
      <c r="P90" s="8">
        <v>3</v>
      </c>
      <c r="Q90" s="8">
        <v>3</v>
      </c>
      <c r="R90" s="5" t="s">
        <v>5</v>
      </c>
      <c r="S90" s="5" t="str">
        <f>IF(MIN(Data_Table[[#This Row],[Grammar &amp; Syntax ]:[Quality of First Response]])&lt;=1,"Fail",IF(MIN(Data_Table[[#This Row],[Grammar &amp; Syntax ]:[Quality of First Response]])=2,"Neutral","Pass"))</f>
        <v>Fail</v>
      </c>
      <c r="T90" s="5" t="str">
        <f>IF(MIN(Data_Table[[#This Row],[Grammar &amp; Syntax ]:[Quality of First Response]])&lt;=1,"Fail",IF(MIN(Data_Table[[#This Row],[Grammar &amp; Syntax ]:[Quality of First Response]])=2,"Pass","Pass"))</f>
        <v>Fail</v>
      </c>
      <c r="U90" s="5">
        <f>IF(Data_Table[[#This Row],[Compliance Critical PF]]="Fail",1,0)</f>
        <v>1</v>
      </c>
      <c r="V90" s="5"/>
      <c r="W90" s="8">
        <v>3</v>
      </c>
      <c r="X90" s="8">
        <v>3</v>
      </c>
      <c r="Y90" s="8">
        <v>3</v>
      </c>
      <c r="Z90" s="8">
        <v>3</v>
      </c>
      <c r="AA90" s="1" t="s">
        <v>12</v>
      </c>
      <c r="AB90" s="8">
        <v>3</v>
      </c>
      <c r="AC90" s="8">
        <v>3</v>
      </c>
      <c r="AD90" s="8">
        <v>3</v>
      </c>
      <c r="AE90" s="1" t="s">
        <v>12</v>
      </c>
      <c r="AF90" s="7" t="s">
        <v>12</v>
      </c>
      <c r="AG90" s="7" t="str">
        <f>IF(MIN(Data_Table[[#This Row],[Priority Level]:[Effective escalation ]])&lt;=1,"Fail",IF(MIN(Data_Table[[#This Row],[Priority Level]:[Effective escalation ]])=2,"Neutral","Pass"))</f>
        <v>Pass</v>
      </c>
      <c r="AH90" s="2" t="str">
        <f>IF(MIN(Data_Table[[#This Row],[Priority Level]:[Effective escalation ]])&lt;=1,"Fail",IF(MIN(Data_Table[[#This Row],[Priority Level]:[Effective escalation ]])=2,"Pass","Pass"))</f>
        <v>Pass</v>
      </c>
      <c r="AI90" s="2" t="str">
        <f>IF(Data_Table[[#This Row],[Business Critical PF]]="Fail",1,"")</f>
        <v/>
      </c>
      <c r="AJ90" s="5" t="str">
        <f>IF(MIN(Data_Table[[#This Row],[Grammar &amp; Syntax ]:[Quality of First Response]],Data_Table[[#This Row],[Priority Level]:[Effective escalation ]])&lt;=1,"Fail",IF(MIN(Data_Table[[#This Row],[Grammar &amp; Syntax ]:[Quality of First Response]],Data_Table[[#This Row],[Priority Level]:[Effective escalation ]])=2,"Neutral","Pass"))</f>
        <v>Fail</v>
      </c>
      <c r="AK90" s="5" t="str">
        <f>IF(MIN(Data_Table[[#This Row],[Grammar &amp; Syntax ]:[Quality of First Response]],Data_Table[[#This Row],[Priority Level]:[Effective escalation ]])&lt;=1,"Fail",IF(MIN(Data_Table[[#This Row],[Grammar &amp; Syntax ]:[Quality of First Response]],Data_Table[[#This Row],[Priority Level]:[Effective escalation ]])=2,"Pass","Pass"))</f>
        <v>Fail</v>
      </c>
      <c r="AL90" s="5">
        <f>IF(Data_Table[[#This Row],[Attribute Fail Rate PF]]="Fail",1,"")</f>
        <v>1</v>
      </c>
      <c r="AM90" s="5">
        <f>1</f>
        <v>1</v>
      </c>
      <c r="AN90" s="5">
        <f>IF(Data_Table[[#This Row],[Attribute Fail Rate PF]]="Fail",Data_Table[[#This Row],[Ticket ID]],"")</f>
        <v>881059</v>
      </c>
      <c r="AO90" s="5" t="str" cm="1">
        <f t="array" ref="AO90">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Accountability &amp; Ownership</v>
      </c>
    </row>
    <row r="91" spans="1:41" ht="15" customHeight="1" x14ac:dyDescent="0.25">
      <c r="A91" s="10">
        <v>44866</v>
      </c>
      <c r="B91" s="1" t="s">
        <v>4</v>
      </c>
      <c r="C91" s="1">
        <f t="shared" si="2"/>
        <v>45</v>
      </c>
      <c r="D91" s="1">
        <f>MATCH(Data_Table[[#This Row],[Week]],_xlfn._xlws.SORT(_xlfn.UNIQUE(Data_Table[Week]),1,-1),0)</f>
        <v>3</v>
      </c>
      <c r="E91" s="1" t="str">
        <f>TEXT(Data_Table[[#This Row],[Date of the Ticket for Review]],"mmm")</f>
        <v>Nov</v>
      </c>
      <c r="F91" s="8">
        <v>875979</v>
      </c>
      <c r="G91" s="8" t="str">
        <f>VLOOKUP(F91,Agent_Table[],2,FALSE)</f>
        <v>Aldrin Sneha Priyanka</v>
      </c>
      <c r="H91" s="8" t="str">
        <f>IFERROR(VLOOKUP(Data_Table[[#This Row],[Ticket ID]],Product_Table[],2,FALSE),"")</f>
        <v>Measurement</v>
      </c>
      <c r="I91" s="3" t="s">
        <v>2</v>
      </c>
      <c r="J91" s="8">
        <v>3</v>
      </c>
      <c r="K91" s="8">
        <v>3</v>
      </c>
      <c r="L91" s="8">
        <v>3</v>
      </c>
      <c r="M91" s="8">
        <v>3</v>
      </c>
      <c r="N91" s="8">
        <v>3</v>
      </c>
      <c r="O91" s="8">
        <v>3</v>
      </c>
      <c r="P91" s="8">
        <v>3</v>
      </c>
      <c r="Q91" s="8">
        <v>3</v>
      </c>
      <c r="R91" s="5" t="s">
        <v>3</v>
      </c>
      <c r="S91" s="5" t="str">
        <f>IF(MIN(Data_Table[[#This Row],[Grammar &amp; Syntax ]:[Quality of First Response]])&lt;=1,"Fail",IF(MIN(Data_Table[[#This Row],[Grammar &amp; Syntax ]:[Quality of First Response]])=2,"Neutral","Pass"))</f>
        <v>Pass</v>
      </c>
      <c r="T91" s="5" t="str">
        <f>IF(MIN(Data_Table[[#This Row],[Grammar &amp; Syntax ]:[Quality of First Response]])&lt;=1,"Fail",IF(MIN(Data_Table[[#This Row],[Grammar &amp; Syntax ]:[Quality of First Response]])=2,"Pass","Pass"))</f>
        <v>Pass</v>
      </c>
      <c r="U91" s="5">
        <f>IF(Data_Table[[#This Row],[Compliance Critical PF]]="Fail",1,0)</f>
        <v>0</v>
      </c>
      <c r="V91" s="5"/>
      <c r="W91" s="8">
        <v>3</v>
      </c>
      <c r="X91" s="8">
        <v>3</v>
      </c>
      <c r="Y91" s="8">
        <v>3</v>
      </c>
      <c r="Z91" s="8">
        <v>3</v>
      </c>
      <c r="AA91" s="1" t="s">
        <v>12</v>
      </c>
      <c r="AB91" s="8">
        <v>3</v>
      </c>
      <c r="AC91" s="8">
        <v>3</v>
      </c>
      <c r="AD91" s="8">
        <v>3</v>
      </c>
      <c r="AE91" s="1" t="s">
        <v>12</v>
      </c>
      <c r="AF91" s="7" t="s">
        <v>12</v>
      </c>
      <c r="AG91" s="7" t="str">
        <f>IF(MIN(Data_Table[[#This Row],[Priority Level]:[Effective escalation ]])&lt;=1,"Fail",IF(MIN(Data_Table[[#This Row],[Priority Level]:[Effective escalation ]])=2,"Neutral","Pass"))</f>
        <v>Pass</v>
      </c>
      <c r="AH91" s="2" t="str">
        <f>IF(MIN(Data_Table[[#This Row],[Priority Level]:[Effective escalation ]])&lt;=1,"Fail",IF(MIN(Data_Table[[#This Row],[Priority Level]:[Effective escalation ]])=2,"Pass","Pass"))</f>
        <v>Pass</v>
      </c>
      <c r="AI91" s="2" t="str">
        <f>IF(Data_Table[[#This Row],[Business Critical PF]]="Fail",1,"")</f>
        <v/>
      </c>
      <c r="AJ91" s="5"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91"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91" s="5" t="str">
        <f>IF(Data_Table[[#This Row],[Attribute Fail Rate PF]]="Fail",1,"")</f>
        <v/>
      </c>
      <c r="AM91" s="5">
        <f>1</f>
        <v>1</v>
      </c>
      <c r="AN91" s="5" t="str">
        <f>IF(Data_Table[[#This Row],[Attribute Fail Rate PF]]="Fail",Data_Table[[#This Row],[Ticket ID]],"")</f>
        <v/>
      </c>
      <c r="AO91" s="5" t="str" cm="1">
        <f t="array" ref="AO91">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92" spans="1:41" ht="15" customHeight="1" x14ac:dyDescent="0.25">
      <c r="A92" s="10">
        <v>44869</v>
      </c>
      <c r="B92" s="1" t="s">
        <v>8</v>
      </c>
      <c r="C92" s="1">
        <f t="shared" si="2"/>
        <v>45</v>
      </c>
      <c r="D92" s="1">
        <f>MATCH(Data_Table[[#This Row],[Week]],_xlfn._xlws.SORT(_xlfn.UNIQUE(Data_Table[Week]),1,-1),0)</f>
        <v>3</v>
      </c>
      <c r="E92" s="1" t="str">
        <f>TEXT(Data_Table[[#This Row],[Date of the Ticket for Review]],"mmm")</f>
        <v>Nov</v>
      </c>
      <c r="F92" s="8">
        <v>880418</v>
      </c>
      <c r="G92" s="8" t="str">
        <f>VLOOKUP(F92,Agent_Table[],2,FALSE)</f>
        <v>Angelina Voon Suk Yung</v>
      </c>
      <c r="H92" s="8" t="str">
        <f>IFERROR(VLOOKUP(Data_Table[[#This Row],[Ticket ID]],Product_Table[],2,FALSE),"")</f>
        <v>Platforms &amp; API</v>
      </c>
      <c r="I92" s="3" t="s">
        <v>2</v>
      </c>
      <c r="J92" s="8">
        <v>3</v>
      </c>
      <c r="K92" s="8">
        <v>3</v>
      </c>
      <c r="L92" s="8">
        <v>3</v>
      </c>
      <c r="M92" s="8">
        <v>3</v>
      </c>
      <c r="N92" s="8">
        <v>3</v>
      </c>
      <c r="O92" s="8">
        <v>3</v>
      </c>
      <c r="P92" s="8">
        <v>3</v>
      </c>
      <c r="Q92" s="8">
        <v>3</v>
      </c>
      <c r="R92" s="5" t="s">
        <v>3</v>
      </c>
      <c r="S92" s="5" t="str">
        <f>IF(MIN(Data_Table[[#This Row],[Grammar &amp; Syntax ]:[Quality of First Response]])&lt;=1,"Fail",IF(MIN(Data_Table[[#This Row],[Grammar &amp; Syntax ]:[Quality of First Response]])=2,"Neutral","Pass"))</f>
        <v>Pass</v>
      </c>
      <c r="T92" s="5" t="str">
        <f>IF(MIN(Data_Table[[#This Row],[Grammar &amp; Syntax ]:[Quality of First Response]])&lt;=1,"Fail",IF(MIN(Data_Table[[#This Row],[Grammar &amp; Syntax ]:[Quality of First Response]])=2,"Pass","Pass"))</f>
        <v>Pass</v>
      </c>
      <c r="U92" s="5">
        <f>IF(Data_Table[[#This Row],[Compliance Critical PF]]="Fail",1,0)</f>
        <v>0</v>
      </c>
      <c r="V92" s="5"/>
      <c r="W92" s="8">
        <v>3</v>
      </c>
      <c r="X92" s="8">
        <v>3</v>
      </c>
      <c r="Y92" s="8">
        <v>3</v>
      </c>
      <c r="Z92" s="8">
        <v>3</v>
      </c>
      <c r="AA92" s="1" t="s">
        <v>12</v>
      </c>
      <c r="AB92" s="8">
        <v>2</v>
      </c>
      <c r="AC92" s="8">
        <v>3</v>
      </c>
      <c r="AD92" s="8">
        <v>3</v>
      </c>
      <c r="AE92" s="1" t="s">
        <v>12</v>
      </c>
      <c r="AF92" s="7" t="s">
        <v>39</v>
      </c>
      <c r="AG92" s="7" t="str">
        <f>IF(MIN(Data_Table[[#This Row],[Priority Level]:[Effective escalation ]])&lt;=1,"Fail",IF(MIN(Data_Table[[#This Row],[Priority Level]:[Effective escalation ]])=2,"Neutral","Pass"))</f>
        <v>Neutral</v>
      </c>
      <c r="AH92" s="2" t="str">
        <f>IF(MIN(Data_Table[[#This Row],[Priority Level]:[Effective escalation ]])&lt;=1,"Fail",IF(MIN(Data_Table[[#This Row],[Priority Level]:[Effective escalation ]])=2,"Pass","Pass"))</f>
        <v>Pass</v>
      </c>
      <c r="AI92" s="2" t="str">
        <f>IF(Data_Table[[#This Row],[Business Critical PF]]="Fail",1,"")</f>
        <v/>
      </c>
      <c r="AJ92" s="5" t="str">
        <f>IF(MIN(Data_Table[[#This Row],[Grammar &amp; Syntax ]:[Quality of First Response]],Data_Table[[#This Row],[Priority Level]:[Effective escalation ]])&lt;=1,"Fail",IF(MIN(Data_Table[[#This Row],[Grammar &amp; Syntax ]:[Quality of First Response]],Data_Table[[#This Row],[Priority Level]:[Effective escalation ]])=2,"Neutral","Pass"))</f>
        <v>Neutral</v>
      </c>
      <c r="AK92"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92" s="5" t="str">
        <f>IF(Data_Table[[#This Row],[Attribute Fail Rate PF]]="Fail",1,"")</f>
        <v/>
      </c>
      <c r="AM92" s="5">
        <f>1</f>
        <v>1</v>
      </c>
      <c r="AN92" s="5" t="str">
        <f>IF(Data_Table[[#This Row],[Attribute Fail Rate PF]]="Fail",Data_Table[[#This Row],[Ticket ID]],"")</f>
        <v/>
      </c>
      <c r="AO92" s="5" t="str" cm="1">
        <f t="array" ref="AO92">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93" spans="1:41" ht="15" customHeight="1" x14ac:dyDescent="0.25">
      <c r="A93" s="10">
        <v>44867</v>
      </c>
      <c r="B93" s="1" t="s">
        <v>8</v>
      </c>
      <c r="C93" s="1">
        <f t="shared" si="2"/>
        <v>45</v>
      </c>
      <c r="D93" s="1">
        <f>MATCH(Data_Table[[#This Row],[Week]],_xlfn._xlws.SORT(_xlfn.UNIQUE(Data_Table[Week]),1,-1),0)</f>
        <v>3</v>
      </c>
      <c r="E93" s="1" t="str">
        <f>TEXT(Data_Table[[#This Row],[Date of the Ticket for Review]],"mmm")</f>
        <v>Nov</v>
      </c>
      <c r="F93" s="8">
        <v>877422</v>
      </c>
      <c r="G93" s="8" t="str">
        <f>VLOOKUP(F93,Agent_Table[],2,FALSE)</f>
        <v>Tran Thi Thao Trinh (Liz)</v>
      </c>
      <c r="H93" s="8" t="str">
        <f>IFERROR(VLOOKUP(Data_Table[[#This Row],[Ticket ID]],Product_Table[],2,FALSE),"")</f>
        <v>Performance &amp; Delivery</v>
      </c>
      <c r="I93" s="3" t="s">
        <v>2</v>
      </c>
      <c r="J93" s="8">
        <v>3</v>
      </c>
      <c r="K93" s="8">
        <v>3</v>
      </c>
      <c r="L93" s="8">
        <v>3</v>
      </c>
      <c r="M93" s="8">
        <v>3</v>
      </c>
      <c r="N93" s="8">
        <v>3</v>
      </c>
      <c r="O93" s="8">
        <v>3</v>
      </c>
      <c r="P93" s="8">
        <v>3</v>
      </c>
      <c r="Q93" s="8">
        <v>3</v>
      </c>
      <c r="R93" s="5" t="s">
        <v>3</v>
      </c>
      <c r="S93" s="5" t="str">
        <f>IF(MIN(Data_Table[[#This Row],[Grammar &amp; Syntax ]:[Quality of First Response]])&lt;=1,"Fail",IF(MIN(Data_Table[[#This Row],[Grammar &amp; Syntax ]:[Quality of First Response]])=2,"Neutral","Pass"))</f>
        <v>Pass</v>
      </c>
      <c r="T93" s="5" t="str">
        <f>IF(MIN(Data_Table[[#This Row],[Grammar &amp; Syntax ]:[Quality of First Response]])&lt;=1,"Fail",IF(MIN(Data_Table[[#This Row],[Grammar &amp; Syntax ]:[Quality of First Response]])=2,"Pass","Pass"))</f>
        <v>Pass</v>
      </c>
      <c r="U93" s="5">
        <f>IF(Data_Table[[#This Row],[Compliance Critical PF]]="Fail",1,0)</f>
        <v>0</v>
      </c>
      <c r="V93" s="5"/>
      <c r="W93" s="8">
        <v>3</v>
      </c>
      <c r="X93" s="8">
        <v>3</v>
      </c>
      <c r="Y93" s="8">
        <v>3</v>
      </c>
      <c r="Z93" s="8">
        <v>3</v>
      </c>
      <c r="AA93" s="1" t="s">
        <v>12</v>
      </c>
      <c r="AB93" s="8">
        <v>3</v>
      </c>
      <c r="AC93" s="8">
        <v>3</v>
      </c>
      <c r="AD93" s="8">
        <v>3</v>
      </c>
      <c r="AE93" s="1" t="s">
        <v>12</v>
      </c>
      <c r="AF93" s="7" t="s">
        <v>12</v>
      </c>
      <c r="AG93" s="7" t="str">
        <f>IF(MIN(Data_Table[[#This Row],[Priority Level]:[Effective escalation ]])&lt;=1,"Fail",IF(MIN(Data_Table[[#This Row],[Priority Level]:[Effective escalation ]])=2,"Neutral","Pass"))</f>
        <v>Pass</v>
      </c>
      <c r="AH93" s="2" t="str">
        <f>IF(MIN(Data_Table[[#This Row],[Priority Level]:[Effective escalation ]])&lt;=1,"Fail",IF(MIN(Data_Table[[#This Row],[Priority Level]:[Effective escalation ]])=2,"Pass","Pass"))</f>
        <v>Pass</v>
      </c>
      <c r="AI93" s="2" t="str">
        <f>IF(Data_Table[[#This Row],[Business Critical PF]]="Fail",1,"")</f>
        <v/>
      </c>
      <c r="AJ93" s="5"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93"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93" s="5" t="str">
        <f>IF(Data_Table[[#This Row],[Attribute Fail Rate PF]]="Fail",1,"")</f>
        <v/>
      </c>
      <c r="AM93" s="5">
        <f>1</f>
        <v>1</v>
      </c>
      <c r="AN93" s="5" t="str">
        <f>IF(Data_Table[[#This Row],[Attribute Fail Rate PF]]="Fail",Data_Table[[#This Row],[Ticket ID]],"")</f>
        <v/>
      </c>
      <c r="AO93" s="5" t="str" cm="1">
        <f t="array" ref="AO93">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94" spans="1:41" ht="15" customHeight="1" x14ac:dyDescent="0.25">
      <c r="A94" s="10">
        <v>44869</v>
      </c>
      <c r="B94" s="1" t="s">
        <v>8</v>
      </c>
      <c r="C94" s="1">
        <f t="shared" si="2"/>
        <v>45</v>
      </c>
      <c r="D94" s="1">
        <f>MATCH(Data_Table[[#This Row],[Week]],_xlfn._xlws.SORT(_xlfn.UNIQUE(Data_Table[Week]),1,-1),0)</f>
        <v>3</v>
      </c>
      <c r="E94" s="1" t="str">
        <f>TEXT(Data_Table[[#This Row],[Date of the Ticket for Review]],"mmm")</f>
        <v>Nov</v>
      </c>
      <c r="F94" s="8">
        <v>880322</v>
      </c>
      <c r="G94" s="8" t="str">
        <f>VLOOKUP(F94,Agent_Table[],2,FALSE)</f>
        <v>Tran Thi Thao Trinh (Liz)</v>
      </c>
      <c r="H94" s="8" t="str">
        <f>IFERROR(VLOOKUP(Data_Table[[#This Row],[Ticket ID]],Product_Table[],2,FALSE),"")</f>
        <v>Native Branding Ads</v>
      </c>
      <c r="I94" s="3" t="s">
        <v>2</v>
      </c>
      <c r="J94" s="8">
        <v>3</v>
      </c>
      <c r="K94" s="8">
        <v>3</v>
      </c>
      <c r="L94" s="8">
        <v>3</v>
      </c>
      <c r="M94" s="8">
        <v>3</v>
      </c>
      <c r="N94" s="8">
        <v>3</v>
      </c>
      <c r="O94" s="8">
        <v>1</v>
      </c>
      <c r="P94" s="8">
        <v>3</v>
      </c>
      <c r="Q94" s="8">
        <v>3</v>
      </c>
      <c r="R94" s="5" t="s">
        <v>5</v>
      </c>
      <c r="S94" s="5" t="str">
        <f>IF(MIN(Data_Table[[#This Row],[Grammar &amp; Syntax ]:[Quality of First Response]])&lt;=1,"Fail",IF(MIN(Data_Table[[#This Row],[Grammar &amp; Syntax ]:[Quality of First Response]])=2,"Neutral","Pass"))</f>
        <v>Fail</v>
      </c>
      <c r="T94" s="5" t="str">
        <f>IF(MIN(Data_Table[[#This Row],[Grammar &amp; Syntax ]:[Quality of First Response]])&lt;=1,"Fail",IF(MIN(Data_Table[[#This Row],[Grammar &amp; Syntax ]:[Quality of First Response]])=2,"Pass","Pass"))</f>
        <v>Fail</v>
      </c>
      <c r="U94" s="5">
        <f>IF(Data_Table[[#This Row],[Compliance Critical PF]]="Fail",1,0)</f>
        <v>1</v>
      </c>
      <c r="V94" s="5"/>
      <c r="W94" s="8">
        <v>3</v>
      </c>
      <c r="X94" s="8">
        <v>3</v>
      </c>
      <c r="Y94" s="8">
        <v>3</v>
      </c>
      <c r="Z94" s="8">
        <v>3</v>
      </c>
      <c r="AA94" s="1" t="s">
        <v>12</v>
      </c>
      <c r="AB94" s="8">
        <v>3</v>
      </c>
      <c r="AC94" s="8">
        <v>3</v>
      </c>
      <c r="AD94" s="8">
        <v>3</v>
      </c>
      <c r="AE94" s="1" t="s">
        <v>12</v>
      </c>
      <c r="AF94" s="7" t="s">
        <v>12</v>
      </c>
      <c r="AG94" s="7" t="str">
        <f>IF(MIN(Data_Table[[#This Row],[Priority Level]:[Effective escalation ]])&lt;=1,"Fail",IF(MIN(Data_Table[[#This Row],[Priority Level]:[Effective escalation ]])=2,"Neutral","Pass"))</f>
        <v>Pass</v>
      </c>
      <c r="AH94" s="2" t="str">
        <f>IF(MIN(Data_Table[[#This Row],[Priority Level]:[Effective escalation ]])&lt;=1,"Fail",IF(MIN(Data_Table[[#This Row],[Priority Level]:[Effective escalation ]])=2,"Pass","Pass"))</f>
        <v>Pass</v>
      </c>
      <c r="AI94" s="2" t="str">
        <f>IF(Data_Table[[#This Row],[Business Critical PF]]="Fail",1,"")</f>
        <v/>
      </c>
      <c r="AJ94" s="5" t="str">
        <f>IF(MIN(Data_Table[[#This Row],[Grammar &amp; Syntax ]:[Quality of First Response]],Data_Table[[#This Row],[Priority Level]:[Effective escalation ]])&lt;=1,"Fail",IF(MIN(Data_Table[[#This Row],[Grammar &amp; Syntax ]:[Quality of First Response]],Data_Table[[#This Row],[Priority Level]:[Effective escalation ]])=2,"Neutral","Pass"))</f>
        <v>Fail</v>
      </c>
      <c r="AK94" s="5" t="str">
        <f>IF(MIN(Data_Table[[#This Row],[Grammar &amp; Syntax ]:[Quality of First Response]],Data_Table[[#This Row],[Priority Level]:[Effective escalation ]])&lt;=1,"Fail",IF(MIN(Data_Table[[#This Row],[Grammar &amp; Syntax ]:[Quality of First Response]],Data_Table[[#This Row],[Priority Level]:[Effective escalation ]])=2,"Pass","Pass"))</f>
        <v>Fail</v>
      </c>
      <c r="AL94" s="5">
        <f>IF(Data_Table[[#This Row],[Attribute Fail Rate PF]]="Fail",1,"")</f>
        <v>1</v>
      </c>
      <c r="AM94" s="5">
        <f>1</f>
        <v>1</v>
      </c>
      <c r="AN94" s="5">
        <f>IF(Data_Table[[#This Row],[Attribute Fail Rate PF]]="Fail",Data_Table[[#This Row],[Ticket ID]],"")</f>
        <v>880322</v>
      </c>
      <c r="AO94" s="5" t="str" cm="1">
        <f t="array" ref="AO94">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Accountability &amp; Ownership</v>
      </c>
    </row>
    <row r="95" spans="1:41" ht="15" customHeight="1" x14ac:dyDescent="0.25">
      <c r="A95" s="10">
        <v>44869</v>
      </c>
      <c r="B95" s="1" t="s">
        <v>8</v>
      </c>
      <c r="C95" s="1">
        <f t="shared" si="2"/>
        <v>45</v>
      </c>
      <c r="D95" s="1">
        <f>MATCH(Data_Table[[#This Row],[Week]],_xlfn._xlws.SORT(_xlfn.UNIQUE(Data_Table[Week]),1,-1),0)</f>
        <v>3</v>
      </c>
      <c r="E95" s="1" t="str">
        <f>TEXT(Data_Table[[#This Row],[Date of the Ticket for Review]],"mmm")</f>
        <v>Nov</v>
      </c>
      <c r="F95" s="8">
        <v>880675</v>
      </c>
      <c r="G95" s="8" t="str">
        <f>VLOOKUP(F95,Agent_Table[],2,FALSE)</f>
        <v>Nuraini Hassan</v>
      </c>
      <c r="H95" s="8" t="str">
        <f>IFERROR(VLOOKUP(Data_Table[[#This Row],[Ticket ID]],Product_Table[],2,FALSE),"")</f>
        <v>Measurement</v>
      </c>
      <c r="I95" s="3" t="s">
        <v>2</v>
      </c>
      <c r="J95" s="8">
        <v>3</v>
      </c>
      <c r="K95" s="8">
        <v>3</v>
      </c>
      <c r="L95" s="8">
        <v>3</v>
      </c>
      <c r="M95" s="8">
        <v>3</v>
      </c>
      <c r="N95" s="8">
        <v>3</v>
      </c>
      <c r="O95" s="8">
        <v>3</v>
      </c>
      <c r="P95" s="8">
        <v>3</v>
      </c>
      <c r="Q95" s="8">
        <v>3</v>
      </c>
      <c r="R95" s="5" t="s">
        <v>3</v>
      </c>
      <c r="S95" s="5" t="str">
        <f>IF(MIN(Data_Table[[#This Row],[Grammar &amp; Syntax ]:[Quality of First Response]])&lt;=1,"Fail",IF(MIN(Data_Table[[#This Row],[Grammar &amp; Syntax ]:[Quality of First Response]])=2,"Neutral","Pass"))</f>
        <v>Pass</v>
      </c>
      <c r="T95" s="5" t="str">
        <f>IF(MIN(Data_Table[[#This Row],[Grammar &amp; Syntax ]:[Quality of First Response]])&lt;=1,"Fail",IF(MIN(Data_Table[[#This Row],[Grammar &amp; Syntax ]:[Quality of First Response]])=2,"Pass","Pass"))</f>
        <v>Pass</v>
      </c>
      <c r="U95" s="5">
        <f>IF(Data_Table[[#This Row],[Compliance Critical PF]]="Fail",1,0)</f>
        <v>0</v>
      </c>
      <c r="V95" s="5"/>
      <c r="W95" s="8">
        <v>3</v>
      </c>
      <c r="X95" s="8">
        <v>3</v>
      </c>
      <c r="Y95" s="8">
        <v>3</v>
      </c>
      <c r="Z95" s="8">
        <v>3</v>
      </c>
      <c r="AA95" s="1" t="s">
        <v>12</v>
      </c>
      <c r="AB95" s="8">
        <v>3</v>
      </c>
      <c r="AC95" s="8">
        <v>3</v>
      </c>
      <c r="AD95" s="8">
        <v>3</v>
      </c>
      <c r="AE95" s="1" t="s">
        <v>12</v>
      </c>
      <c r="AF95" s="7" t="s">
        <v>12</v>
      </c>
      <c r="AG95" s="7" t="str">
        <f>IF(MIN(Data_Table[[#This Row],[Priority Level]:[Effective escalation ]])&lt;=1,"Fail",IF(MIN(Data_Table[[#This Row],[Priority Level]:[Effective escalation ]])=2,"Neutral","Pass"))</f>
        <v>Pass</v>
      </c>
      <c r="AH95" s="2" t="str">
        <f>IF(MIN(Data_Table[[#This Row],[Priority Level]:[Effective escalation ]])&lt;=1,"Fail",IF(MIN(Data_Table[[#This Row],[Priority Level]:[Effective escalation ]])=2,"Pass","Pass"))</f>
        <v>Pass</v>
      </c>
      <c r="AI95" s="2" t="str">
        <f>IF(Data_Table[[#This Row],[Business Critical PF]]="Fail",1,"")</f>
        <v/>
      </c>
      <c r="AJ95" s="5"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95"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95" s="5" t="str">
        <f>IF(Data_Table[[#This Row],[Attribute Fail Rate PF]]="Fail",1,"")</f>
        <v/>
      </c>
      <c r="AM95" s="5">
        <f>1</f>
        <v>1</v>
      </c>
      <c r="AN95" s="5" t="str">
        <f>IF(Data_Table[[#This Row],[Attribute Fail Rate PF]]="Fail",Data_Table[[#This Row],[Ticket ID]],"")</f>
        <v/>
      </c>
      <c r="AO95" s="5" t="str" cm="1">
        <f t="array" ref="AO95">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96" spans="1:41" ht="15" customHeight="1" x14ac:dyDescent="0.25">
      <c r="A96" s="10">
        <v>44869</v>
      </c>
      <c r="B96" s="1" t="s">
        <v>8</v>
      </c>
      <c r="C96" s="1">
        <f t="shared" si="2"/>
        <v>45</v>
      </c>
      <c r="D96" s="1">
        <f>MATCH(Data_Table[[#This Row],[Week]],_xlfn._xlws.SORT(_xlfn.UNIQUE(Data_Table[Week]),1,-1),0)</f>
        <v>3</v>
      </c>
      <c r="E96" s="1" t="str">
        <f>TEXT(Data_Table[[#This Row],[Date of the Ticket for Review]],"mmm")</f>
        <v>Nov</v>
      </c>
      <c r="F96" s="8">
        <v>880632</v>
      </c>
      <c r="G96" s="8" t="str">
        <f>VLOOKUP(F96,Agent_Table[],2,FALSE)</f>
        <v>Nuraini Hassan</v>
      </c>
      <c r="H96" s="8" t="str">
        <f>IFERROR(VLOOKUP(Data_Table[[#This Row],[Ticket ID]],Product_Table[],2,FALSE),"")</f>
        <v>Measurement</v>
      </c>
      <c r="I96" s="3" t="s">
        <v>2</v>
      </c>
      <c r="J96" s="8">
        <v>3</v>
      </c>
      <c r="K96" s="8">
        <v>3</v>
      </c>
      <c r="L96" s="8">
        <v>3</v>
      </c>
      <c r="M96" s="8">
        <v>3</v>
      </c>
      <c r="N96" s="8">
        <v>3</v>
      </c>
      <c r="O96" s="8">
        <v>3</v>
      </c>
      <c r="P96" s="8">
        <v>3</v>
      </c>
      <c r="Q96" s="8">
        <v>3</v>
      </c>
      <c r="R96" s="5" t="s">
        <v>3</v>
      </c>
      <c r="S96" s="5" t="str">
        <f>IF(MIN(Data_Table[[#This Row],[Grammar &amp; Syntax ]:[Quality of First Response]])&lt;=1,"Fail",IF(MIN(Data_Table[[#This Row],[Grammar &amp; Syntax ]:[Quality of First Response]])=2,"Neutral","Pass"))</f>
        <v>Pass</v>
      </c>
      <c r="T96" s="5" t="str">
        <f>IF(MIN(Data_Table[[#This Row],[Grammar &amp; Syntax ]:[Quality of First Response]])&lt;=1,"Fail",IF(MIN(Data_Table[[#This Row],[Grammar &amp; Syntax ]:[Quality of First Response]])=2,"Pass","Pass"))</f>
        <v>Pass</v>
      </c>
      <c r="U96" s="5">
        <f>IF(Data_Table[[#This Row],[Compliance Critical PF]]="Fail",1,0)</f>
        <v>0</v>
      </c>
      <c r="V96" s="5"/>
      <c r="W96" s="8">
        <v>3</v>
      </c>
      <c r="X96" s="8">
        <v>3</v>
      </c>
      <c r="Y96" s="8">
        <v>3</v>
      </c>
      <c r="Z96" s="8">
        <v>3</v>
      </c>
      <c r="AA96" s="1" t="s">
        <v>12</v>
      </c>
      <c r="AB96" s="8">
        <v>3</v>
      </c>
      <c r="AC96" s="8">
        <v>3</v>
      </c>
      <c r="AD96" s="8">
        <v>3</v>
      </c>
      <c r="AE96" s="1" t="s">
        <v>12</v>
      </c>
      <c r="AF96" s="7" t="s">
        <v>12</v>
      </c>
      <c r="AG96" s="7" t="str">
        <f>IF(MIN(Data_Table[[#This Row],[Priority Level]:[Effective escalation ]])&lt;=1,"Fail",IF(MIN(Data_Table[[#This Row],[Priority Level]:[Effective escalation ]])=2,"Neutral","Pass"))</f>
        <v>Pass</v>
      </c>
      <c r="AH96" s="2" t="str">
        <f>IF(MIN(Data_Table[[#This Row],[Priority Level]:[Effective escalation ]])&lt;=1,"Fail",IF(MIN(Data_Table[[#This Row],[Priority Level]:[Effective escalation ]])=2,"Pass","Pass"))</f>
        <v>Pass</v>
      </c>
      <c r="AI96" s="2" t="str">
        <f>IF(Data_Table[[#This Row],[Business Critical PF]]="Fail",1,"")</f>
        <v/>
      </c>
      <c r="AJ96" s="5"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96"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96" s="5" t="str">
        <f>IF(Data_Table[[#This Row],[Attribute Fail Rate PF]]="Fail",1,"")</f>
        <v/>
      </c>
      <c r="AM96" s="5">
        <f>1</f>
        <v>1</v>
      </c>
      <c r="AN96" s="5" t="str">
        <f>IF(Data_Table[[#This Row],[Attribute Fail Rate PF]]="Fail",Data_Table[[#This Row],[Ticket ID]],"")</f>
        <v/>
      </c>
      <c r="AO96" s="5" t="str" cm="1">
        <f t="array" ref="AO96">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97" spans="1:42" ht="15" customHeight="1" x14ac:dyDescent="0.25">
      <c r="A97" s="10">
        <v>44866</v>
      </c>
      <c r="B97" s="1" t="s">
        <v>8</v>
      </c>
      <c r="C97" s="1">
        <f t="shared" si="2"/>
        <v>45</v>
      </c>
      <c r="D97" s="1">
        <f>MATCH(Data_Table[[#This Row],[Week]],_xlfn._xlws.SORT(_xlfn.UNIQUE(Data_Table[Week]),1,-1),0)</f>
        <v>3</v>
      </c>
      <c r="E97" s="1" t="str">
        <f>TEXT(Data_Table[[#This Row],[Date of the Ticket for Review]],"mmm")</f>
        <v>Nov</v>
      </c>
      <c r="F97" s="8">
        <v>875479</v>
      </c>
      <c r="G97" s="8" t="str">
        <f>VLOOKUP(F97,Agent_Table[],2,FALSE)</f>
        <v xml:space="preserve">Jiao Ni (Annie)
</v>
      </c>
      <c r="H97" s="8" t="str">
        <f>IFERROR(VLOOKUP(Data_Table[[#This Row],[Ticket ID]],Product_Table[],2,FALSE),"")</f>
        <v>Measurement</v>
      </c>
      <c r="I97" s="3" t="s">
        <v>7</v>
      </c>
      <c r="J97" s="8">
        <v>3</v>
      </c>
      <c r="K97" s="8">
        <v>3</v>
      </c>
      <c r="L97" s="8">
        <v>3</v>
      </c>
      <c r="M97" s="8">
        <v>3</v>
      </c>
      <c r="N97" s="8">
        <v>3</v>
      </c>
      <c r="O97" s="8">
        <v>3</v>
      </c>
      <c r="P97" s="8">
        <v>3</v>
      </c>
      <c r="Q97" s="8">
        <v>3</v>
      </c>
      <c r="R97" s="5" t="s">
        <v>3</v>
      </c>
      <c r="S97" s="5" t="str">
        <f>IF(MIN(Data_Table[[#This Row],[Grammar &amp; Syntax ]:[Quality of First Response]])&lt;=1,"Fail",IF(MIN(Data_Table[[#This Row],[Grammar &amp; Syntax ]:[Quality of First Response]])=2,"Neutral","Pass"))</f>
        <v>Pass</v>
      </c>
      <c r="T97" s="5" t="str">
        <f>IF(MIN(Data_Table[[#This Row],[Grammar &amp; Syntax ]:[Quality of First Response]])&lt;=1,"Fail",IF(MIN(Data_Table[[#This Row],[Grammar &amp; Syntax ]:[Quality of First Response]])=2,"Pass","Pass"))</f>
        <v>Pass</v>
      </c>
      <c r="U97" s="5">
        <f>IF(Data_Table[[#This Row],[Compliance Critical PF]]="Fail",1,0)</f>
        <v>0</v>
      </c>
      <c r="V97" s="5"/>
      <c r="W97" s="8">
        <v>3</v>
      </c>
      <c r="X97" s="8">
        <v>3</v>
      </c>
      <c r="Y97" s="8">
        <v>3</v>
      </c>
      <c r="Z97" s="8">
        <v>3</v>
      </c>
      <c r="AA97" s="1" t="s">
        <v>12</v>
      </c>
      <c r="AB97" s="8">
        <v>3</v>
      </c>
      <c r="AC97" s="8">
        <v>3</v>
      </c>
      <c r="AD97" s="8">
        <v>3</v>
      </c>
      <c r="AE97" s="1" t="s">
        <v>12</v>
      </c>
      <c r="AF97" s="7" t="s">
        <v>12</v>
      </c>
      <c r="AG97" s="7" t="str">
        <f>IF(MIN(Data_Table[[#This Row],[Priority Level]:[Effective escalation ]])&lt;=1,"Fail",IF(MIN(Data_Table[[#This Row],[Priority Level]:[Effective escalation ]])=2,"Neutral","Pass"))</f>
        <v>Pass</v>
      </c>
      <c r="AH97" s="2" t="str">
        <f>IF(MIN(Data_Table[[#This Row],[Priority Level]:[Effective escalation ]])&lt;=1,"Fail",IF(MIN(Data_Table[[#This Row],[Priority Level]:[Effective escalation ]])=2,"Pass","Pass"))</f>
        <v>Pass</v>
      </c>
      <c r="AI97" s="2" t="str">
        <f>IF(Data_Table[[#This Row],[Business Critical PF]]="Fail",1,"")</f>
        <v/>
      </c>
      <c r="AJ97" s="5"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97"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97" s="5" t="str">
        <f>IF(Data_Table[[#This Row],[Attribute Fail Rate PF]]="Fail",1,"")</f>
        <v/>
      </c>
      <c r="AM97" s="5">
        <f>1</f>
        <v>1</v>
      </c>
      <c r="AN97" s="5" t="str">
        <f>IF(Data_Table[[#This Row],[Attribute Fail Rate PF]]="Fail",Data_Table[[#This Row],[Ticket ID]],"")</f>
        <v/>
      </c>
      <c r="AO97" s="5" t="str" cm="1">
        <f t="array" ref="AO97">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98" spans="1:42" ht="15" customHeight="1" x14ac:dyDescent="0.25">
      <c r="A98" s="10">
        <v>44865</v>
      </c>
      <c r="B98" s="1" t="s">
        <v>8</v>
      </c>
      <c r="C98" s="1">
        <f t="shared" ref="C98:C129" si="3">WEEKNUM(A98)</f>
        <v>45</v>
      </c>
      <c r="D98" s="1">
        <f>MATCH(Data_Table[[#This Row],[Week]],_xlfn._xlws.SORT(_xlfn.UNIQUE(Data_Table[Week]),1,-1),0)</f>
        <v>3</v>
      </c>
      <c r="E98" s="1" t="str">
        <f>TEXT(Data_Table[[#This Row],[Date of the Ticket for Review]],"mmm")</f>
        <v>Oct</v>
      </c>
      <c r="F98" s="8">
        <v>873557</v>
      </c>
      <c r="G98" s="8" t="str">
        <f>VLOOKUP(F98,Agent_Table[],2,FALSE)</f>
        <v xml:space="preserve">Jiao Ni (Annie)
</v>
      </c>
      <c r="H98" s="8" t="str">
        <f>IFERROR(VLOOKUP(Data_Table[[#This Row],[Ticket ID]],Product_Table[],2,FALSE),"")</f>
        <v>Platforms &amp; API</v>
      </c>
      <c r="I98" s="3" t="s">
        <v>2</v>
      </c>
      <c r="J98" s="8">
        <v>3</v>
      </c>
      <c r="K98" s="8">
        <v>3</v>
      </c>
      <c r="L98" s="8">
        <v>3</v>
      </c>
      <c r="M98" s="8">
        <v>3</v>
      </c>
      <c r="N98" s="8">
        <v>3</v>
      </c>
      <c r="O98" s="8">
        <v>3</v>
      </c>
      <c r="P98" s="8">
        <v>3</v>
      </c>
      <c r="Q98" s="8">
        <v>3</v>
      </c>
      <c r="R98" s="5" t="s">
        <v>3</v>
      </c>
      <c r="S98" s="5" t="str">
        <f>IF(MIN(Data_Table[[#This Row],[Grammar &amp; Syntax ]:[Quality of First Response]])&lt;=1,"Fail",IF(MIN(Data_Table[[#This Row],[Grammar &amp; Syntax ]:[Quality of First Response]])=2,"Neutral","Pass"))</f>
        <v>Pass</v>
      </c>
      <c r="T98" s="5" t="str">
        <f>IF(MIN(Data_Table[[#This Row],[Grammar &amp; Syntax ]:[Quality of First Response]])&lt;=1,"Fail",IF(MIN(Data_Table[[#This Row],[Grammar &amp; Syntax ]:[Quality of First Response]])=2,"Pass","Pass"))</f>
        <v>Pass</v>
      </c>
      <c r="U98" s="5">
        <f>IF(Data_Table[[#This Row],[Compliance Critical PF]]="Fail",1,0)</f>
        <v>0</v>
      </c>
      <c r="V98" s="5"/>
      <c r="W98" s="8">
        <v>3</v>
      </c>
      <c r="X98" s="8">
        <v>3</v>
      </c>
      <c r="Y98" s="8">
        <v>3</v>
      </c>
      <c r="Z98" s="8">
        <v>3</v>
      </c>
      <c r="AA98" s="1" t="s">
        <v>12</v>
      </c>
      <c r="AB98" s="8">
        <v>3</v>
      </c>
      <c r="AC98" s="8">
        <v>3</v>
      </c>
      <c r="AD98" s="8">
        <v>3</v>
      </c>
      <c r="AE98" s="1" t="s">
        <v>12</v>
      </c>
      <c r="AF98" s="7" t="s">
        <v>12</v>
      </c>
      <c r="AG98" s="7" t="str">
        <f>IF(MIN(Data_Table[[#This Row],[Priority Level]:[Effective escalation ]])&lt;=1,"Fail",IF(MIN(Data_Table[[#This Row],[Priority Level]:[Effective escalation ]])=2,"Neutral","Pass"))</f>
        <v>Pass</v>
      </c>
      <c r="AH98" s="2" t="str">
        <f>IF(MIN(Data_Table[[#This Row],[Priority Level]:[Effective escalation ]])&lt;=1,"Fail",IF(MIN(Data_Table[[#This Row],[Priority Level]:[Effective escalation ]])=2,"Pass","Pass"))</f>
        <v>Pass</v>
      </c>
      <c r="AI98" s="2" t="str">
        <f>IF(Data_Table[[#This Row],[Business Critical PF]]="Fail",1,"")</f>
        <v/>
      </c>
      <c r="AJ98" s="5"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98"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98" s="5" t="str">
        <f>IF(Data_Table[[#This Row],[Attribute Fail Rate PF]]="Fail",1,"")</f>
        <v/>
      </c>
      <c r="AM98" s="5">
        <f>1</f>
        <v>1</v>
      </c>
      <c r="AN98" s="5" t="str">
        <f>IF(Data_Table[[#This Row],[Attribute Fail Rate PF]]="Fail",Data_Table[[#This Row],[Ticket ID]],"")</f>
        <v/>
      </c>
      <c r="AO98" s="5" t="str" cm="1">
        <f t="array" ref="AO98">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99" spans="1:42" ht="15" customHeight="1" x14ac:dyDescent="0.25">
      <c r="A99" s="10">
        <v>44869</v>
      </c>
      <c r="B99" s="1" t="s">
        <v>1</v>
      </c>
      <c r="C99" s="1">
        <f t="shared" si="3"/>
        <v>45</v>
      </c>
      <c r="D99" s="1">
        <f>MATCH(Data_Table[[#This Row],[Week]],_xlfn._xlws.SORT(_xlfn.UNIQUE(Data_Table[Week]),1,-1),0)</f>
        <v>3</v>
      </c>
      <c r="E99" s="1" t="str">
        <f>TEXT(Data_Table[[#This Row],[Date of the Ticket for Review]],"mmm")</f>
        <v>Nov</v>
      </c>
      <c r="F99" s="8">
        <v>881297</v>
      </c>
      <c r="G99" s="8" t="str">
        <f>VLOOKUP(F99,Agent_Table[],2,FALSE)</f>
        <v>Agnes Tang</v>
      </c>
      <c r="H99" s="8" t="str">
        <f>IFERROR(VLOOKUP(Data_Table[[#This Row],[Ticket ID]],Product_Table[],2,FALSE),"")</f>
        <v>Platforms &amp; API</v>
      </c>
      <c r="I99" s="3" t="s">
        <v>2</v>
      </c>
      <c r="J99" s="8">
        <v>3</v>
      </c>
      <c r="K99" s="8">
        <v>3</v>
      </c>
      <c r="L99" s="8">
        <v>3</v>
      </c>
      <c r="M99" s="8">
        <v>3</v>
      </c>
      <c r="N99" s="8">
        <v>3</v>
      </c>
      <c r="O99" s="8">
        <v>3</v>
      </c>
      <c r="P99" s="8">
        <v>3</v>
      </c>
      <c r="Q99" s="8">
        <v>3</v>
      </c>
      <c r="R99" s="5" t="s">
        <v>3</v>
      </c>
      <c r="S99" s="5" t="str">
        <f>IF(MIN(Data_Table[[#This Row],[Grammar &amp; Syntax ]:[Quality of First Response]])&lt;=1,"Fail",IF(MIN(Data_Table[[#This Row],[Grammar &amp; Syntax ]:[Quality of First Response]])=2,"Neutral","Pass"))</f>
        <v>Pass</v>
      </c>
      <c r="T99" s="5" t="str">
        <f>IF(MIN(Data_Table[[#This Row],[Grammar &amp; Syntax ]:[Quality of First Response]])&lt;=1,"Fail",IF(MIN(Data_Table[[#This Row],[Grammar &amp; Syntax ]:[Quality of First Response]])=2,"Pass","Pass"))</f>
        <v>Pass</v>
      </c>
      <c r="U99" s="5">
        <f>IF(Data_Table[[#This Row],[Compliance Critical PF]]="Fail",1,0)</f>
        <v>0</v>
      </c>
      <c r="V99" s="5"/>
      <c r="W99" s="8">
        <v>3</v>
      </c>
      <c r="X99" s="8">
        <v>3</v>
      </c>
      <c r="Y99" s="8">
        <v>3</v>
      </c>
      <c r="Z99" s="8">
        <v>3</v>
      </c>
      <c r="AA99" s="8">
        <v>3</v>
      </c>
      <c r="AB99" s="8">
        <v>3</v>
      </c>
      <c r="AC99" s="8">
        <v>3</v>
      </c>
      <c r="AD99" s="8">
        <v>3</v>
      </c>
      <c r="AE99" s="1" t="s">
        <v>12</v>
      </c>
      <c r="AF99" s="7" t="s">
        <v>40</v>
      </c>
      <c r="AG99" s="7" t="str">
        <f>IF(MIN(Data_Table[[#This Row],[Priority Level]:[Effective escalation ]])&lt;=1,"Fail",IF(MIN(Data_Table[[#This Row],[Priority Level]:[Effective escalation ]])=2,"Neutral","Pass"))</f>
        <v>Pass</v>
      </c>
      <c r="AH99" s="2" t="str">
        <f>IF(MIN(Data_Table[[#This Row],[Priority Level]:[Effective escalation ]])&lt;=1,"Fail",IF(MIN(Data_Table[[#This Row],[Priority Level]:[Effective escalation ]])=2,"Pass","Pass"))</f>
        <v>Pass</v>
      </c>
      <c r="AI99" s="2" t="str">
        <f>IF(Data_Table[[#This Row],[Business Critical PF]]="Fail",1,"")</f>
        <v/>
      </c>
      <c r="AJ99" s="5"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99"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99" s="5" t="str">
        <f>IF(Data_Table[[#This Row],[Attribute Fail Rate PF]]="Fail",1,"")</f>
        <v/>
      </c>
      <c r="AM99" s="5">
        <f>1</f>
        <v>1</v>
      </c>
      <c r="AN99" s="5" t="str">
        <f>IF(Data_Table[[#This Row],[Attribute Fail Rate PF]]="Fail",Data_Table[[#This Row],[Ticket ID]],"")</f>
        <v/>
      </c>
      <c r="AO99" s="5" t="str" cm="1">
        <f t="array" ref="AO99">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100" spans="1:42" ht="15" customHeight="1" x14ac:dyDescent="0.25">
      <c r="A100" s="10">
        <v>44868</v>
      </c>
      <c r="B100" s="1" t="s">
        <v>1</v>
      </c>
      <c r="C100" s="1">
        <f t="shared" si="3"/>
        <v>45</v>
      </c>
      <c r="D100" s="1">
        <f>MATCH(Data_Table[[#This Row],[Week]],_xlfn._xlws.SORT(_xlfn.UNIQUE(Data_Table[Week]),1,-1),0)</f>
        <v>3</v>
      </c>
      <c r="E100" s="1" t="str">
        <f>TEXT(Data_Table[[#This Row],[Date of the Ticket for Review]],"mmm")</f>
        <v>Nov</v>
      </c>
      <c r="F100" s="8">
        <v>879803</v>
      </c>
      <c r="G100" s="8" t="str">
        <f>VLOOKUP(F100,Agent_Table[],2,FALSE)</f>
        <v>Agnes Tang</v>
      </c>
      <c r="H100" s="8" t="str">
        <f>IFERROR(VLOOKUP(Data_Table[[#This Row],[Ticket ID]],Product_Table[],2,FALSE),"")</f>
        <v>Performance &amp; Delivery</v>
      </c>
      <c r="I100" s="3" t="s">
        <v>2</v>
      </c>
      <c r="J100" s="8">
        <v>3</v>
      </c>
      <c r="K100" s="8">
        <v>3</v>
      </c>
      <c r="L100" s="8">
        <v>3</v>
      </c>
      <c r="M100" s="8">
        <v>3</v>
      </c>
      <c r="N100" s="8">
        <v>3</v>
      </c>
      <c r="O100" s="8">
        <v>3</v>
      </c>
      <c r="P100" s="8">
        <v>3</v>
      </c>
      <c r="Q100" s="8">
        <v>3</v>
      </c>
      <c r="R100" s="5" t="s">
        <v>3</v>
      </c>
      <c r="S100" s="5" t="str">
        <f>IF(MIN(Data_Table[[#This Row],[Grammar &amp; Syntax ]:[Quality of First Response]])&lt;=1,"Fail",IF(MIN(Data_Table[[#This Row],[Grammar &amp; Syntax ]:[Quality of First Response]])=2,"Neutral","Pass"))</f>
        <v>Pass</v>
      </c>
      <c r="T100" s="5" t="str">
        <f>IF(MIN(Data_Table[[#This Row],[Grammar &amp; Syntax ]:[Quality of First Response]])&lt;=1,"Fail",IF(MIN(Data_Table[[#This Row],[Grammar &amp; Syntax ]:[Quality of First Response]])=2,"Pass","Pass"))</f>
        <v>Pass</v>
      </c>
      <c r="U100" s="5">
        <f>IF(Data_Table[[#This Row],[Compliance Critical PF]]="Fail",1,0)</f>
        <v>0</v>
      </c>
      <c r="V100" s="5"/>
      <c r="W100" s="8">
        <v>3</v>
      </c>
      <c r="X100" s="8">
        <v>3</v>
      </c>
      <c r="Y100" s="8">
        <v>3</v>
      </c>
      <c r="Z100" s="8">
        <v>3</v>
      </c>
      <c r="AA100" s="1" t="s">
        <v>12</v>
      </c>
      <c r="AB100" s="8">
        <v>3</v>
      </c>
      <c r="AC100" s="8">
        <v>3</v>
      </c>
      <c r="AD100" s="8">
        <v>3</v>
      </c>
      <c r="AE100" s="1" t="s">
        <v>12</v>
      </c>
      <c r="AF100" s="7" t="s">
        <v>41</v>
      </c>
      <c r="AG100" s="7" t="str">
        <f>IF(MIN(Data_Table[[#This Row],[Priority Level]:[Effective escalation ]])&lt;=1,"Fail",IF(MIN(Data_Table[[#This Row],[Priority Level]:[Effective escalation ]])=2,"Neutral","Pass"))</f>
        <v>Pass</v>
      </c>
      <c r="AH100" s="2" t="str">
        <f>IF(MIN(Data_Table[[#This Row],[Priority Level]:[Effective escalation ]])&lt;=1,"Fail",IF(MIN(Data_Table[[#This Row],[Priority Level]:[Effective escalation ]])=2,"Pass","Pass"))</f>
        <v>Pass</v>
      </c>
      <c r="AI100" s="2" t="str">
        <f>IF(Data_Table[[#This Row],[Business Critical PF]]="Fail",1,"")</f>
        <v/>
      </c>
      <c r="AJ100" s="5"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100"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100" s="5" t="str">
        <f>IF(Data_Table[[#This Row],[Attribute Fail Rate PF]]="Fail",1,"")</f>
        <v/>
      </c>
      <c r="AM100" s="5">
        <f>1</f>
        <v>1</v>
      </c>
      <c r="AN100" s="5" t="str">
        <f>IF(Data_Table[[#This Row],[Attribute Fail Rate PF]]="Fail",Data_Table[[#This Row],[Ticket ID]],"")</f>
        <v/>
      </c>
      <c r="AO100" s="5" t="str" cm="1">
        <f t="array" ref="AO100">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101" spans="1:42" ht="15" customHeight="1" x14ac:dyDescent="0.25">
      <c r="A101" s="10">
        <v>44865</v>
      </c>
      <c r="B101" s="1" t="s">
        <v>1</v>
      </c>
      <c r="C101" s="1">
        <f t="shared" si="3"/>
        <v>45</v>
      </c>
      <c r="D101" s="1">
        <f>MATCH(Data_Table[[#This Row],[Week]],_xlfn._xlws.SORT(_xlfn.UNIQUE(Data_Table[Week]),1,-1),0)</f>
        <v>3</v>
      </c>
      <c r="E101" s="1" t="str">
        <f>TEXT(Data_Table[[#This Row],[Date of the Ticket for Review]],"mmm")</f>
        <v>Oct</v>
      </c>
      <c r="F101" s="8">
        <v>874488</v>
      </c>
      <c r="G101" s="8" t="str">
        <f>VLOOKUP(F101,Agent_Table[],2,FALSE)</f>
        <v>Prakash Reddy</v>
      </c>
      <c r="H101" s="8" t="str">
        <f>IFERROR(VLOOKUP(Data_Table[[#This Row],[Ticket ID]],Product_Table[],2,FALSE),"")</f>
        <v>Measurement</v>
      </c>
      <c r="I101" s="3" t="s">
        <v>2</v>
      </c>
      <c r="J101" s="8">
        <v>3</v>
      </c>
      <c r="K101" s="8">
        <v>3</v>
      </c>
      <c r="L101" s="8">
        <v>3</v>
      </c>
      <c r="M101" s="8">
        <v>3</v>
      </c>
      <c r="N101" s="8">
        <v>3</v>
      </c>
      <c r="O101" s="8">
        <v>3</v>
      </c>
      <c r="P101" s="8">
        <v>3</v>
      </c>
      <c r="Q101" s="8">
        <v>3</v>
      </c>
      <c r="R101" s="5" t="s">
        <v>3</v>
      </c>
      <c r="S101" s="5" t="str">
        <f>IF(MIN(Data_Table[[#This Row],[Grammar &amp; Syntax ]:[Quality of First Response]])&lt;=1,"Fail",IF(MIN(Data_Table[[#This Row],[Grammar &amp; Syntax ]:[Quality of First Response]])=2,"Neutral","Pass"))</f>
        <v>Pass</v>
      </c>
      <c r="T101" s="5" t="str">
        <f>IF(MIN(Data_Table[[#This Row],[Grammar &amp; Syntax ]:[Quality of First Response]])&lt;=1,"Fail",IF(MIN(Data_Table[[#This Row],[Grammar &amp; Syntax ]:[Quality of First Response]])=2,"Pass","Pass"))</f>
        <v>Pass</v>
      </c>
      <c r="U101" s="5">
        <f>IF(Data_Table[[#This Row],[Compliance Critical PF]]="Fail",1,0)</f>
        <v>0</v>
      </c>
      <c r="V101" s="5"/>
      <c r="W101" s="8">
        <v>3</v>
      </c>
      <c r="X101" s="8">
        <v>3</v>
      </c>
      <c r="Y101" s="8">
        <v>3</v>
      </c>
      <c r="Z101" s="8">
        <v>3</v>
      </c>
      <c r="AA101" s="1" t="s">
        <v>12</v>
      </c>
      <c r="AB101" s="8">
        <v>3</v>
      </c>
      <c r="AC101" s="8">
        <v>3</v>
      </c>
      <c r="AD101" s="8">
        <v>3</v>
      </c>
      <c r="AE101" s="8">
        <v>2</v>
      </c>
      <c r="AF101" s="7" t="s">
        <v>42</v>
      </c>
      <c r="AG101" s="7" t="str">
        <f>IF(MIN(Data_Table[[#This Row],[Priority Level]:[Effective escalation ]])&lt;=1,"Fail",IF(MIN(Data_Table[[#This Row],[Priority Level]:[Effective escalation ]])=2,"Neutral","Pass"))</f>
        <v>Neutral</v>
      </c>
      <c r="AH101" s="2" t="str">
        <f>IF(MIN(Data_Table[[#This Row],[Priority Level]:[Effective escalation ]])&lt;=1,"Fail",IF(MIN(Data_Table[[#This Row],[Priority Level]:[Effective escalation ]])=2,"Pass","Pass"))</f>
        <v>Pass</v>
      </c>
      <c r="AI101" s="2" t="str">
        <f>IF(Data_Table[[#This Row],[Business Critical PF]]="Fail",1,"")</f>
        <v/>
      </c>
      <c r="AJ101" s="5" t="str">
        <f>IF(MIN(Data_Table[[#This Row],[Grammar &amp; Syntax ]:[Quality of First Response]],Data_Table[[#This Row],[Priority Level]:[Effective escalation ]])&lt;=1,"Fail",IF(MIN(Data_Table[[#This Row],[Grammar &amp; Syntax ]:[Quality of First Response]],Data_Table[[#This Row],[Priority Level]:[Effective escalation ]])=2,"Neutral","Pass"))</f>
        <v>Neutral</v>
      </c>
      <c r="AK101"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101" s="5" t="str">
        <f>IF(Data_Table[[#This Row],[Attribute Fail Rate PF]]="Fail",1,"")</f>
        <v/>
      </c>
      <c r="AM101" s="5">
        <f>1</f>
        <v>1</v>
      </c>
      <c r="AN101" s="5" t="str">
        <f>IF(Data_Table[[#This Row],[Attribute Fail Rate PF]]="Fail",Data_Table[[#This Row],[Ticket ID]],"")</f>
        <v/>
      </c>
      <c r="AO101" s="5" t="str" cm="1">
        <f t="array" ref="AO101">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102" spans="1:42" ht="15" customHeight="1" x14ac:dyDescent="0.25">
      <c r="A102" s="10">
        <v>44866</v>
      </c>
      <c r="B102" s="1" t="s">
        <v>1</v>
      </c>
      <c r="C102" s="1">
        <f t="shared" si="3"/>
        <v>45</v>
      </c>
      <c r="D102" s="1">
        <f>MATCH(Data_Table[[#This Row],[Week]],_xlfn._xlws.SORT(_xlfn.UNIQUE(Data_Table[Week]),1,-1),0)</f>
        <v>3</v>
      </c>
      <c r="E102" s="1" t="str">
        <f>TEXT(Data_Table[[#This Row],[Date of the Ticket for Review]],"mmm")</f>
        <v>Nov</v>
      </c>
      <c r="F102" s="8">
        <v>876284</v>
      </c>
      <c r="G102" s="8" t="str">
        <f>VLOOKUP(F102,Agent_Table[],2,FALSE)</f>
        <v>Prakash Reddy</v>
      </c>
      <c r="H102" s="8" t="str">
        <f>IFERROR(VLOOKUP(Data_Table[[#This Row],[Ticket ID]],Product_Table[],2,FALSE),"")</f>
        <v>Measurement</v>
      </c>
      <c r="I102" s="3" t="s">
        <v>2</v>
      </c>
      <c r="J102" s="8">
        <v>3</v>
      </c>
      <c r="K102" s="8">
        <v>3</v>
      </c>
      <c r="L102" s="8">
        <v>3</v>
      </c>
      <c r="M102" s="8">
        <v>3</v>
      </c>
      <c r="N102" s="8">
        <v>3</v>
      </c>
      <c r="O102" s="8">
        <v>3</v>
      </c>
      <c r="P102" s="8">
        <v>3</v>
      </c>
      <c r="Q102" s="8">
        <v>3</v>
      </c>
      <c r="R102" s="5" t="s">
        <v>3</v>
      </c>
      <c r="S102" s="5" t="str">
        <f>IF(MIN(Data_Table[[#This Row],[Grammar &amp; Syntax ]:[Quality of First Response]])&lt;=1,"Fail",IF(MIN(Data_Table[[#This Row],[Grammar &amp; Syntax ]:[Quality of First Response]])=2,"Neutral","Pass"))</f>
        <v>Pass</v>
      </c>
      <c r="T102" s="5" t="str">
        <f>IF(MIN(Data_Table[[#This Row],[Grammar &amp; Syntax ]:[Quality of First Response]])&lt;=1,"Fail",IF(MIN(Data_Table[[#This Row],[Grammar &amp; Syntax ]:[Quality of First Response]])=2,"Pass","Pass"))</f>
        <v>Pass</v>
      </c>
      <c r="U102" s="5">
        <f>IF(Data_Table[[#This Row],[Compliance Critical PF]]="Fail",1,0)</f>
        <v>0</v>
      </c>
      <c r="V102" s="5"/>
      <c r="W102" s="8">
        <v>3</v>
      </c>
      <c r="X102" s="8">
        <v>3</v>
      </c>
      <c r="Y102" s="8">
        <v>3</v>
      </c>
      <c r="Z102" s="8">
        <v>3</v>
      </c>
      <c r="AA102" s="1" t="s">
        <v>12</v>
      </c>
      <c r="AB102" s="8">
        <v>3</v>
      </c>
      <c r="AC102" s="8">
        <v>3</v>
      </c>
      <c r="AD102" s="8">
        <v>3</v>
      </c>
      <c r="AE102" s="1" t="s">
        <v>12</v>
      </c>
      <c r="AF102" s="7" t="s">
        <v>43</v>
      </c>
      <c r="AG102" s="7" t="str">
        <f>IF(MIN(Data_Table[[#This Row],[Priority Level]:[Effective escalation ]])&lt;=1,"Fail",IF(MIN(Data_Table[[#This Row],[Priority Level]:[Effective escalation ]])=2,"Neutral","Pass"))</f>
        <v>Pass</v>
      </c>
      <c r="AH102" s="2" t="str">
        <f>IF(MIN(Data_Table[[#This Row],[Priority Level]:[Effective escalation ]])&lt;=1,"Fail",IF(MIN(Data_Table[[#This Row],[Priority Level]:[Effective escalation ]])=2,"Pass","Pass"))</f>
        <v>Pass</v>
      </c>
      <c r="AI102" s="2" t="str">
        <f>IF(Data_Table[[#This Row],[Business Critical PF]]="Fail",1,"")</f>
        <v/>
      </c>
      <c r="AJ102" s="5"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102"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102" s="5" t="str">
        <f>IF(Data_Table[[#This Row],[Attribute Fail Rate PF]]="Fail",1,"")</f>
        <v/>
      </c>
      <c r="AM102" s="5">
        <f>1</f>
        <v>1</v>
      </c>
      <c r="AN102" s="5" t="str">
        <f>IF(Data_Table[[#This Row],[Attribute Fail Rate PF]]="Fail",Data_Table[[#This Row],[Ticket ID]],"")</f>
        <v/>
      </c>
      <c r="AO102" s="5" t="str" cm="1">
        <f t="array" ref="AO102">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103" spans="1:42" ht="15" customHeight="1" x14ac:dyDescent="0.25">
      <c r="A103" s="10">
        <v>44868</v>
      </c>
      <c r="B103" s="1" t="s">
        <v>1</v>
      </c>
      <c r="C103" s="1">
        <f t="shared" si="3"/>
        <v>45</v>
      </c>
      <c r="D103" s="1">
        <f>MATCH(Data_Table[[#This Row],[Week]],_xlfn._xlws.SORT(_xlfn.UNIQUE(Data_Table[Week]),1,-1),0)</f>
        <v>3</v>
      </c>
      <c r="E103" s="1" t="str">
        <f>TEXT(Data_Table[[#This Row],[Date of the Ticket for Review]],"mmm")</f>
        <v>Nov</v>
      </c>
      <c r="F103" s="8">
        <v>877907</v>
      </c>
      <c r="G103" s="8" t="str">
        <f>VLOOKUP(F103,Agent_Table[],2,FALSE)</f>
        <v>Syed Muhammad Fahad Ismail</v>
      </c>
      <c r="H103" s="8" t="str">
        <f>IFERROR(VLOOKUP(Data_Table[[#This Row],[Ticket ID]],Product_Table[],2,FALSE),"")</f>
        <v>Native Branding Ads</v>
      </c>
      <c r="I103" s="3" t="s">
        <v>2</v>
      </c>
      <c r="J103" s="8">
        <v>3</v>
      </c>
      <c r="K103" s="8">
        <v>3</v>
      </c>
      <c r="L103" s="8">
        <v>3</v>
      </c>
      <c r="M103" s="8">
        <v>3</v>
      </c>
      <c r="N103" s="8">
        <v>3</v>
      </c>
      <c r="O103" s="8">
        <v>3</v>
      </c>
      <c r="P103" s="8">
        <v>3</v>
      </c>
      <c r="Q103" s="8">
        <v>3</v>
      </c>
      <c r="R103" s="5" t="s">
        <v>3</v>
      </c>
      <c r="S103" s="5" t="str">
        <f>IF(MIN(Data_Table[[#This Row],[Grammar &amp; Syntax ]:[Quality of First Response]])&lt;=1,"Fail",IF(MIN(Data_Table[[#This Row],[Grammar &amp; Syntax ]:[Quality of First Response]])=2,"Neutral","Pass"))</f>
        <v>Pass</v>
      </c>
      <c r="T103" s="5" t="str">
        <f>IF(MIN(Data_Table[[#This Row],[Grammar &amp; Syntax ]:[Quality of First Response]])&lt;=1,"Fail",IF(MIN(Data_Table[[#This Row],[Grammar &amp; Syntax ]:[Quality of First Response]])=2,"Pass","Pass"))</f>
        <v>Pass</v>
      </c>
      <c r="U103" s="5">
        <f>IF(Data_Table[[#This Row],[Compliance Critical PF]]="Fail",1,0)</f>
        <v>0</v>
      </c>
      <c r="V103" s="5"/>
      <c r="W103" s="8">
        <v>3</v>
      </c>
      <c r="X103" s="8">
        <v>3</v>
      </c>
      <c r="Y103" s="8">
        <v>3</v>
      </c>
      <c r="Z103" s="8">
        <v>3</v>
      </c>
      <c r="AA103" s="1" t="s">
        <v>12</v>
      </c>
      <c r="AB103" s="8">
        <v>3</v>
      </c>
      <c r="AC103" s="8">
        <v>3</v>
      </c>
      <c r="AD103" s="8">
        <v>3</v>
      </c>
      <c r="AE103" s="1" t="s">
        <v>12</v>
      </c>
      <c r="AF103" s="7" t="s">
        <v>44</v>
      </c>
      <c r="AG103" s="7" t="str">
        <f>IF(MIN(Data_Table[[#This Row],[Priority Level]:[Effective escalation ]])&lt;=1,"Fail",IF(MIN(Data_Table[[#This Row],[Priority Level]:[Effective escalation ]])=2,"Neutral","Pass"))</f>
        <v>Pass</v>
      </c>
      <c r="AH103" s="2" t="str">
        <f>IF(MIN(Data_Table[[#This Row],[Priority Level]:[Effective escalation ]])&lt;=1,"Fail",IF(MIN(Data_Table[[#This Row],[Priority Level]:[Effective escalation ]])=2,"Pass","Pass"))</f>
        <v>Pass</v>
      </c>
      <c r="AI103" s="2" t="str">
        <f>IF(Data_Table[[#This Row],[Business Critical PF]]="Fail",1,"")</f>
        <v/>
      </c>
      <c r="AJ103" s="5"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103"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103" s="5" t="str">
        <f>IF(Data_Table[[#This Row],[Attribute Fail Rate PF]]="Fail",1,"")</f>
        <v/>
      </c>
      <c r="AM103" s="5">
        <f>1</f>
        <v>1</v>
      </c>
      <c r="AN103" s="5" t="str">
        <f>IF(Data_Table[[#This Row],[Attribute Fail Rate PF]]="Fail",Data_Table[[#This Row],[Ticket ID]],"")</f>
        <v/>
      </c>
      <c r="AO103" s="5" t="str" cm="1">
        <f t="array" ref="AO103">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104" spans="1:42" ht="15" customHeight="1" x14ac:dyDescent="0.25">
      <c r="A104" s="10">
        <v>44865</v>
      </c>
      <c r="B104" s="1" t="s">
        <v>1</v>
      </c>
      <c r="C104" s="1">
        <f t="shared" si="3"/>
        <v>45</v>
      </c>
      <c r="D104" s="1">
        <f>MATCH(Data_Table[[#This Row],[Week]],_xlfn._xlws.SORT(_xlfn.UNIQUE(Data_Table[Week]),1,-1),0)</f>
        <v>3</v>
      </c>
      <c r="E104" s="1" t="str">
        <f>TEXT(Data_Table[[#This Row],[Date of the Ticket for Review]],"mmm")</f>
        <v>Oct</v>
      </c>
      <c r="F104" s="8">
        <v>874656</v>
      </c>
      <c r="G104" s="8" t="str">
        <f>VLOOKUP(F104,Agent_Table[],2,FALSE)</f>
        <v>Syed Muhammad Fahad Ismail</v>
      </c>
      <c r="H104" s="8" t="str">
        <f>IFERROR(VLOOKUP(Data_Table[[#This Row],[Ticket ID]],Product_Table[],2,FALSE),"")</f>
        <v>Platforms &amp; API</v>
      </c>
      <c r="I104" s="3" t="s">
        <v>2</v>
      </c>
      <c r="J104" s="8">
        <v>3</v>
      </c>
      <c r="K104" s="8">
        <v>3</v>
      </c>
      <c r="L104" s="8">
        <v>3</v>
      </c>
      <c r="M104" s="8">
        <v>3</v>
      </c>
      <c r="N104" s="8">
        <v>3</v>
      </c>
      <c r="O104" s="8">
        <v>3</v>
      </c>
      <c r="P104" s="8">
        <v>3</v>
      </c>
      <c r="Q104" s="8">
        <v>3</v>
      </c>
      <c r="R104" s="5" t="s">
        <v>3</v>
      </c>
      <c r="S104" s="5" t="str">
        <f>IF(MIN(Data_Table[[#This Row],[Grammar &amp; Syntax ]:[Quality of First Response]])&lt;=1,"Fail",IF(MIN(Data_Table[[#This Row],[Grammar &amp; Syntax ]:[Quality of First Response]])=2,"Neutral","Pass"))</f>
        <v>Pass</v>
      </c>
      <c r="T104" s="5" t="str">
        <f>IF(MIN(Data_Table[[#This Row],[Grammar &amp; Syntax ]:[Quality of First Response]])&lt;=1,"Fail",IF(MIN(Data_Table[[#This Row],[Grammar &amp; Syntax ]:[Quality of First Response]])=2,"Pass","Pass"))</f>
        <v>Pass</v>
      </c>
      <c r="U104" s="5">
        <f>IF(Data_Table[[#This Row],[Compliance Critical PF]]="Fail",1,0)</f>
        <v>0</v>
      </c>
      <c r="V104" s="5"/>
      <c r="W104" s="8">
        <v>3</v>
      </c>
      <c r="X104" s="8">
        <v>3</v>
      </c>
      <c r="Y104" s="8">
        <v>3</v>
      </c>
      <c r="Z104" s="8">
        <v>3</v>
      </c>
      <c r="AA104" s="8">
        <v>3</v>
      </c>
      <c r="AB104" s="8">
        <v>3</v>
      </c>
      <c r="AC104" s="8">
        <v>3</v>
      </c>
      <c r="AD104" s="8">
        <v>3</v>
      </c>
      <c r="AE104" s="8">
        <v>3</v>
      </c>
      <c r="AF104" s="7" t="s">
        <v>45</v>
      </c>
      <c r="AG104" s="7" t="str">
        <f>IF(MIN(Data_Table[[#This Row],[Priority Level]:[Effective escalation ]])&lt;=1,"Fail",IF(MIN(Data_Table[[#This Row],[Priority Level]:[Effective escalation ]])=2,"Neutral","Pass"))</f>
        <v>Pass</v>
      </c>
      <c r="AH104" s="2" t="str">
        <f>IF(MIN(Data_Table[[#This Row],[Priority Level]:[Effective escalation ]])&lt;=1,"Fail",IF(MIN(Data_Table[[#This Row],[Priority Level]:[Effective escalation ]])=2,"Pass","Pass"))</f>
        <v>Pass</v>
      </c>
      <c r="AI104" s="2" t="str">
        <f>IF(Data_Table[[#This Row],[Business Critical PF]]="Fail",1,"")</f>
        <v/>
      </c>
      <c r="AJ104" s="5"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104"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104" s="5" t="str">
        <f>IF(Data_Table[[#This Row],[Attribute Fail Rate PF]]="Fail",1,"")</f>
        <v/>
      </c>
      <c r="AM104" s="5">
        <f>1</f>
        <v>1</v>
      </c>
      <c r="AN104" s="5" t="str">
        <f>IF(Data_Table[[#This Row],[Attribute Fail Rate PF]]="Fail",Data_Table[[#This Row],[Ticket ID]],"")</f>
        <v/>
      </c>
      <c r="AO104" s="5" t="str" cm="1">
        <f t="array" ref="AO104">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105" spans="1:42" ht="15" customHeight="1" x14ac:dyDescent="0.25">
      <c r="A105" s="10">
        <v>44868</v>
      </c>
      <c r="B105" s="1" t="s">
        <v>1</v>
      </c>
      <c r="C105" s="1">
        <f t="shared" si="3"/>
        <v>45</v>
      </c>
      <c r="D105" s="1">
        <f>MATCH(Data_Table[[#This Row],[Week]],_xlfn._xlws.SORT(_xlfn.UNIQUE(Data_Table[Week]),1,-1),0)</f>
        <v>3</v>
      </c>
      <c r="E105" s="1" t="str">
        <f>TEXT(Data_Table[[#This Row],[Date of the Ticket for Review]],"mmm")</f>
        <v>Nov</v>
      </c>
      <c r="F105" s="8">
        <v>879781</v>
      </c>
      <c r="G105" s="8" t="str">
        <f>VLOOKUP(F105,Agent_Table[],2,FALSE)</f>
        <v>Emmanuel Ehiman</v>
      </c>
      <c r="H105" s="8" t="str">
        <f>IFERROR(VLOOKUP(Data_Table[[#This Row],[Ticket ID]],Product_Table[],2,FALSE),"")</f>
        <v>Native Branding Ads</v>
      </c>
      <c r="I105" s="3" t="s">
        <v>2</v>
      </c>
      <c r="J105" s="8">
        <v>3</v>
      </c>
      <c r="K105" s="8">
        <v>3</v>
      </c>
      <c r="L105" s="8">
        <v>3</v>
      </c>
      <c r="M105" s="8">
        <v>3</v>
      </c>
      <c r="N105" s="8">
        <v>3</v>
      </c>
      <c r="O105" s="8">
        <v>3</v>
      </c>
      <c r="P105" s="8">
        <v>3</v>
      </c>
      <c r="Q105" s="8">
        <v>3</v>
      </c>
      <c r="R105" s="5" t="s">
        <v>3</v>
      </c>
      <c r="S105" s="5" t="str">
        <f>IF(MIN(Data_Table[[#This Row],[Grammar &amp; Syntax ]:[Quality of First Response]])&lt;=1,"Fail",IF(MIN(Data_Table[[#This Row],[Grammar &amp; Syntax ]:[Quality of First Response]])=2,"Neutral","Pass"))</f>
        <v>Pass</v>
      </c>
      <c r="T105" s="5" t="str">
        <f>IF(MIN(Data_Table[[#This Row],[Grammar &amp; Syntax ]:[Quality of First Response]])&lt;=1,"Fail",IF(MIN(Data_Table[[#This Row],[Grammar &amp; Syntax ]:[Quality of First Response]])=2,"Pass","Pass"))</f>
        <v>Pass</v>
      </c>
      <c r="U105" s="5">
        <f>IF(Data_Table[[#This Row],[Compliance Critical PF]]="Fail",1,0)</f>
        <v>0</v>
      </c>
      <c r="V105" s="5"/>
      <c r="W105" s="8">
        <v>3</v>
      </c>
      <c r="X105" s="8">
        <v>3</v>
      </c>
      <c r="Y105" s="8">
        <v>3</v>
      </c>
      <c r="Z105" s="8">
        <v>3</v>
      </c>
      <c r="AA105" s="1" t="s">
        <v>12</v>
      </c>
      <c r="AB105" s="8">
        <v>3</v>
      </c>
      <c r="AC105" s="8">
        <v>3</v>
      </c>
      <c r="AD105" s="8">
        <v>3</v>
      </c>
      <c r="AE105" s="1" t="s">
        <v>12</v>
      </c>
      <c r="AF105" s="7" t="s">
        <v>46</v>
      </c>
      <c r="AG105" s="7" t="str">
        <f>IF(MIN(Data_Table[[#This Row],[Priority Level]:[Effective escalation ]])&lt;=1,"Fail",IF(MIN(Data_Table[[#This Row],[Priority Level]:[Effective escalation ]])=2,"Neutral","Pass"))</f>
        <v>Pass</v>
      </c>
      <c r="AH105" s="2" t="str">
        <f>IF(MIN(Data_Table[[#This Row],[Priority Level]:[Effective escalation ]])&lt;=1,"Fail",IF(MIN(Data_Table[[#This Row],[Priority Level]:[Effective escalation ]])=2,"Pass","Pass"))</f>
        <v>Pass</v>
      </c>
      <c r="AI105" s="2" t="str">
        <f>IF(Data_Table[[#This Row],[Business Critical PF]]="Fail",1,"")</f>
        <v/>
      </c>
      <c r="AJ105" s="5"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105"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105" s="5" t="str">
        <f>IF(Data_Table[[#This Row],[Attribute Fail Rate PF]]="Fail",1,"")</f>
        <v/>
      </c>
      <c r="AM105" s="5">
        <f>1</f>
        <v>1</v>
      </c>
      <c r="AN105" s="5" t="str">
        <f>IF(Data_Table[[#This Row],[Attribute Fail Rate PF]]="Fail",Data_Table[[#This Row],[Ticket ID]],"")</f>
        <v/>
      </c>
      <c r="AO105" s="5" t="str" cm="1">
        <f t="array" ref="AO105">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106" spans="1:42" ht="15" customHeight="1" x14ac:dyDescent="0.25">
      <c r="A106" s="10">
        <v>44866</v>
      </c>
      <c r="B106" s="1" t="s">
        <v>1</v>
      </c>
      <c r="C106" s="1">
        <f t="shared" si="3"/>
        <v>45</v>
      </c>
      <c r="D106" s="1">
        <f>MATCH(Data_Table[[#This Row],[Week]],_xlfn._xlws.SORT(_xlfn.UNIQUE(Data_Table[Week]),1,-1),0)</f>
        <v>3</v>
      </c>
      <c r="E106" s="1" t="str">
        <f>TEXT(Data_Table[[#This Row],[Date of the Ticket for Review]],"mmm")</f>
        <v>Nov</v>
      </c>
      <c r="F106" s="8">
        <v>876405</v>
      </c>
      <c r="G106" s="8" t="str">
        <f>VLOOKUP(F106,Agent_Table[],2,FALSE)</f>
        <v>Emmanuel Ehiman</v>
      </c>
      <c r="H106" s="8" t="str">
        <f>IFERROR(VLOOKUP(Data_Table[[#This Row],[Ticket ID]],Product_Table[],2,FALSE),"")</f>
        <v>Platforms &amp; API</v>
      </c>
      <c r="I106" s="3" t="s">
        <v>2</v>
      </c>
      <c r="J106" s="8">
        <v>3</v>
      </c>
      <c r="K106" s="8">
        <v>3</v>
      </c>
      <c r="L106" s="8">
        <v>3</v>
      </c>
      <c r="M106" s="8">
        <v>3</v>
      </c>
      <c r="N106" s="8">
        <v>3</v>
      </c>
      <c r="O106" s="8">
        <v>3</v>
      </c>
      <c r="P106" s="8">
        <v>3</v>
      </c>
      <c r="Q106" s="8">
        <v>3</v>
      </c>
      <c r="R106" s="5" t="s">
        <v>3</v>
      </c>
      <c r="S106" s="5" t="str">
        <f>IF(MIN(Data_Table[[#This Row],[Grammar &amp; Syntax ]:[Quality of First Response]])&lt;=1,"Fail",IF(MIN(Data_Table[[#This Row],[Grammar &amp; Syntax ]:[Quality of First Response]])=2,"Neutral","Pass"))</f>
        <v>Pass</v>
      </c>
      <c r="T106" s="5" t="str">
        <f>IF(MIN(Data_Table[[#This Row],[Grammar &amp; Syntax ]:[Quality of First Response]])&lt;=1,"Fail",IF(MIN(Data_Table[[#This Row],[Grammar &amp; Syntax ]:[Quality of First Response]])=2,"Pass","Pass"))</f>
        <v>Pass</v>
      </c>
      <c r="U106" s="5">
        <f>IF(Data_Table[[#This Row],[Compliance Critical PF]]="Fail",1,0)</f>
        <v>0</v>
      </c>
      <c r="V106" s="5"/>
      <c r="W106" s="8">
        <v>3</v>
      </c>
      <c r="X106" s="8">
        <v>3</v>
      </c>
      <c r="Y106" s="8">
        <v>3</v>
      </c>
      <c r="Z106" s="8">
        <v>3</v>
      </c>
      <c r="AA106" s="1" t="s">
        <v>12</v>
      </c>
      <c r="AB106" s="8">
        <v>2</v>
      </c>
      <c r="AC106" s="8">
        <v>3</v>
      </c>
      <c r="AD106" s="8">
        <v>3</v>
      </c>
      <c r="AE106" s="1" t="s">
        <v>12</v>
      </c>
      <c r="AF106" s="7" t="s">
        <v>47</v>
      </c>
      <c r="AG106" s="7" t="str">
        <f>IF(MIN(Data_Table[[#This Row],[Priority Level]:[Effective escalation ]])&lt;=1,"Fail",IF(MIN(Data_Table[[#This Row],[Priority Level]:[Effective escalation ]])=2,"Neutral","Pass"))</f>
        <v>Neutral</v>
      </c>
      <c r="AH106" s="2" t="str">
        <f>IF(MIN(Data_Table[[#This Row],[Priority Level]:[Effective escalation ]])&lt;=1,"Fail",IF(MIN(Data_Table[[#This Row],[Priority Level]:[Effective escalation ]])=2,"Pass","Pass"))</f>
        <v>Pass</v>
      </c>
      <c r="AI106" s="2" t="str">
        <f>IF(Data_Table[[#This Row],[Business Critical PF]]="Fail",1,"")</f>
        <v/>
      </c>
      <c r="AJ106" s="5" t="str">
        <f>IF(MIN(Data_Table[[#This Row],[Grammar &amp; Syntax ]:[Quality of First Response]],Data_Table[[#This Row],[Priority Level]:[Effective escalation ]])&lt;=1,"Fail",IF(MIN(Data_Table[[#This Row],[Grammar &amp; Syntax ]:[Quality of First Response]],Data_Table[[#This Row],[Priority Level]:[Effective escalation ]])=2,"Neutral","Pass"))</f>
        <v>Neutral</v>
      </c>
      <c r="AK106"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106" s="5" t="str">
        <f>IF(Data_Table[[#This Row],[Attribute Fail Rate PF]]="Fail",1,"")</f>
        <v/>
      </c>
      <c r="AM106" s="5">
        <f>1</f>
        <v>1</v>
      </c>
      <c r="AN106" s="5" t="str">
        <f>IF(Data_Table[[#This Row],[Attribute Fail Rate PF]]="Fail",Data_Table[[#This Row],[Ticket ID]],"")</f>
        <v/>
      </c>
      <c r="AO106" s="5" t="str" cm="1">
        <f t="array" ref="AO106">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107" spans="1:42" ht="15" customHeight="1" x14ac:dyDescent="0.25">
      <c r="A107" s="10">
        <v>44866</v>
      </c>
      <c r="B107" s="1" t="s">
        <v>1</v>
      </c>
      <c r="C107" s="1">
        <f t="shared" si="3"/>
        <v>45</v>
      </c>
      <c r="D107" s="1">
        <f>MATCH(Data_Table[[#This Row],[Week]],_xlfn._xlws.SORT(_xlfn.UNIQUE(Data_Table[Week]),1,-1),0)</f>
        <v>3</v>
      </c>
      <c r="E107" s="1" t="str">
        <f>TEXT(Data_Table[[#This Row],[Date of the Ticket for Review]],"mmm")</f>
        <v>Nov</v>
      </c>
      <c r="F107" s="8">
        <v>876430</v>
      </c>
      <c r="G107" s="8" t="str">
        <f>VLOOKUP(F107,Agent_Table[],2,FALSE)</f>
        <v>Tomasz Bulawa</v>
      </c>
      <c r="H107" s="8" t="str">
        <f>IFERROR(VLOOKUP(Data_Table[[#This Row],[Ticket ID]],Product_Table[],2,FALSE),"")</f>
        <v>Performance &amp; Delivery</v>
      </c>
      <c r="I107" s="3" t="s">
        <v>7</v>
      </c>
      <c r="J107" s="8">
        <v>3</v>
      </c>
      <c r="K107" s="8">
        <v>3</v>
      </c>
      <c r="L107" s="8">
        <v>3</v>
      </c>
      <c r="M107" s="8">
        <v>3</v>
      </c>
      <c r="N107" s="8">
        <v>3</v>
      </c>
      <c r="O107" s="8">
        <v>3</v>
      </c>
      <c r="P107" s="8">
        <v>3</v>
      </c>
      <c r="Q107" s="8">
        <v>3</v>
      </c>
      <c r="R107" s="5" t="s">
        <v>3</v>
      </c>
      <c r="S107" s="5" t="str">
        <f>IF(MIN(Data_Table[[#This Row],[Grammar &amp; Syntax ]:[Quality of First Response]])&lt;=1,"Fail",IF(MIN(Data_Table[[#This Row],[Grammar &amp; Syntax ]:[Quality of First Response]])=2,"Neutral","Pass"))</f>
        <v>Pass</v>
      </c>
      <c r="T107" s="5" t="str">
        <f>IF(MIN(Data_Table[[#This Row],[Grammar &amp; Syntax ]:[Quality of First Response]])&lt;=1,"Fail",IF(MIN(Data_Table[[#This Row],[Grammar &amp; Syntax ]:[Quality of First Response]])=2,"Pass","Pass"))</f>
        <v>Pass</v>
      </c>
      <c r="U107" s="5">
        <f>IF(Data_Table[[#This Row],[Compliance Critical PF]]="Fail",1,0)</f>
        <v>0</v>
      </c>
      <c r="V107" s="5"/>
      <c r="W107" s="8">
        <v>3</v>
      </c>
      <c r="X107" s="8">
        <v>3</v>
      </c>
      <c r="Y107" s="8">
        <v>3</v>
      </c>
      <c r="Z107" s="8">
        <v>3</v>
      </c>
      <c r="AA107" s="1" t="s">
        <v>12</v>
      </c>
      <c r="AB107" s="8">
        <v>3</v>
      </c>
      <c r="AC107" s="8">
        <v>3</v>
      </c>
      <c r="AD107" s="8">
        <v>3</v>
      </c>
      <c r="AE107" s="8">
        <v>3</v>
      </c>
      <c r="AF107" s="7" t="s">
        <v>48</v>
      </c>
      <c r="AG107" s="7" t="str">
        <f>IF(MIN(Data_Table[[#This Row],[Priority Level]:[Effective escalation ]])&lt;=1,"Fail",IF(MIN(Data_Table[[#This Row],[Priority Level]:[Effective escalation ]])=2,"Neutral","Pass"))</f>
        <v>Pass</v>
      </c>
      <c r="AH107" s="2" t="str">
        <f>IF(MIN(Data_Table[[#This Row],[Priority Level]:[Effective escalation ]])&lt;=1,"Fail",IF(MIN(Data_Table[[#This Row],[Priority Level]:[Effective escalation ]])=2,"Pass","Pass"))</f>
        <v>Pass</v>
      </c>
      <c r="AI107" s="2" t="str">
        <f>IF(Data_Table[[#This Row],[Business Critical PF]]="Fail",1,"")</f>
        <v/>
      </c>
      <c r="AJ107" s="5"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107"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107" s="5" t="str">
        <f>IF(Data_Table[[#This Row],[Attribute Fail Rate PF]]="Fail",1,"")</f>
        <v/>
      </c>
      <c r="AM107" s="5">
        <f>1</f>
        <v>1</v>
      </c>
      <c r="AN107" s="5" t="str">
        <f>IF(Data_Table[[#This Row],[Attribute Fail Rate PF]]="Fail",Data_Table[[#This Row],[Ticket ID]],"")</f>
        <v/>
      </c>
      <c r="AO107" s="5" t="str" cm="1">
        <f t="array" ref="AO107">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108" spans="1:42" ht="15" customHeight="1" x14ac:dyDescent="0.25">
      <c r="A108" s="10">
        <v>44868</v>
      </c>
      <c r="B108" s="1" t="s">
        <v>1</v>
      </c>
      <c r="C108" s="1">
        <f t="shared" si="3"/>
        <v>45</v>
      </c>
      <c r="D108" s="1">
        <f>MATCH(Data_Table[[#This Row],[Week]],_xlfn._xlws.SORT(_xlfn.UNIQUE(Data_Table[Week]),1,-1),0)</f>
        <v>3</v>
      </c>
      <c r="E108" s="1" t="str">
        <f>TEXT(Data_Table[[#This Row],[Date of the Ticket for Review]],"mmm")</f>
        <v>Nov</v>
      </c>
      <c r="F108" s="8">
        <v>876216</v>
      </c>
      <c r="G108" s="8" t="str">
        <f>VLOOKUP(F108,Agent_Table[],2,FALSE)</f>
        <v>Tomasz Bulawa</v>
      </c>
      <c r="H108" s="8" t="str">
        <f>IFERROR(VLOOKUP(Data_Table[[#This Row],[Ticket ID]],Product_Table[],2,FALSE),"")</f>
        <v>Performance &amp; Delivery</v>
      </c>
      <c r="I108" s="3" t="s">
        <v>2</v>
      </c>
      <c r="J108" s="8">
        <v>3</v>
      </c>
      <c r="K108" s="8">
        <v>3</v>
      </c>
      <c r="L108" s="8">
        <v>3</v>
      </c>
      <c r="M108" s="8">
        <v>3</v>
      </c>
      <c r="N108" s="8">
        <v>3</v>
      </c>
      <c r="O108" s="8">
        <v>3</v>
      </c>
      <c r="P108" s="8">
        <v>3</v>
      </c>
      <c r="Q108" s="8">
        <v>3</v>
      </c>
      <c r="R108" s="5" t="s">
        <v>3</v>
      </c>
      <c r="S108" s="5" t="str">
        <f>IF(MIN(Data_Table[[#This Row],[Grammar &amp; Syntax ]:[Quality of First Response]])&lt;=1,"Fail",IF(MIN(Data_Table[[#This Row],[Grammar &amp; Syntax ]:[Quality of First Response]])=2,"Neutral","Pass"))</f>
        <v>Pass</v>
      </c>
      <c r="T108" s="5" t="str">
        <f>IF(MIN(Data_Table[[#This Row],[Grammar &amp; Syntax ]:[Quality of First Response]])&lt;=1,"Fail",IF(MIN(Data_Table[[#This Row],[Grammar &amp; Syntax ]:[Quality of First Response]])=2,"Pass","Pass"))</f>
        <v>Pass</v>
      </c>
      <c r="U108" s="5">
        <f>IF(Data_Table[[#This Row],[Compliance Critical PF]]="Fail",1,0)</f>
        <v>0</v>
      </c>
      <c r="V108" s="5"/>
      <c r="W108" s="8">
        <v>3</v>
      </c>
      <c r="X108" s="8">
        <v>3</v>
      </c>
      <c r="Y108" s="8">
        <v>3</v>
      </c>
      <c r="Z108" s="8">
        <v>3</v>
      </c>
      <c r="AA108" s="1" t="s">
        <v>12</v>
      </c>
      <c r="AB108" s="8">
        <v>3</v>
      </c>
      <c r="AC108" s="8">
        <v>3</v>
      </c>
      <c r="AD108" s="8">
        <v>3</v>
      </c>
      <c r="AE108" s="1" t="s">
        <v>12</v>
      </c>
      <c r="AF108" s="7" t="s">
        <v>49</v>
      </c>
      <c r="AG108" s="7" t="str">
        <f>IF(MIN(Data_Table[[#This Row],[Priority Level]:[Effective escalation ]])&lt;=1,"Fail",IF(MIN(Data_Table[[#This Row],[Priority Level]:[Effective escalation ]])=2,"Neutral","Pass"))</f>
        <v>Pass</v>
      </c>
      <c r="AH108" s="2" t="str">
        <f>IF(MIN(Data_Table[[#This Row],[Priority Level]:[Effective escalation ]])&lt;=1,"Fail",IF(MIN(Data_Table[[#This Row],[Priority Level]:[Effective escalation ]])=2,"Pass","Pass"))</f>
        <v>Pass</v>
      </c>
      <c r="AI108" s="2" t="str">
        <f>IF(Data_Table[[#This Row],[Business Critical PF]]="Fail",1,"")</f>
        <v/>
      </c>
      <c r="AJ108" s="5"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108"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108" s="5" t="str">
        <f>IF(Data_Table[[#This Row],[Attribute Fail Rate PF]]="Fail",1,"")</f>
        <v/>
      </c>
      <c r="AM108" s="5">
        <f>1</f>
        <v>1</v>
      </c>
      <c r="AN108" s="5" t="str">
        <f>IF(Data_Table[[#This Row],[Attribute Fail Rate PF]]="Fail",Data_Table[[#This Row],[Ticket ID]],"")</f>
        <v/>
      </c>
      <c r="AO108" s="5" t="str" cm="1">
        <f t="array" ref="AO108">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109" spans="1:42" ht="15" customHeight="1" x14ac:dyDescent="0.25">
      <c r="A109" s="10">
        <v>44865</v>
      </c>
      <c r="B109" s="1" t="s">
        <v>1</v>
      </c>
      <c r="C109" s="1">
        <f t="shared" si="3"/>
        <v>45</v>
      </c>
      <c r="D109" s="1">
        <f>MATCH(Data_Table[[#This Row],[Week]],_xlfn._xlws.SORT(_xlfn.UNIQUE(Data_Table[Week]),1,-1),0)</f>
        <v>3</v>
      </c>
      <c r="E109" s="1" t="str">
        <f>TEXT(Data_Table[[#This Row],[Date of the Ticket for Review]],"mmm")</f>
        <v>Oct</v>
      </c>
      <c r="F109" s="8">
        <v>874321</v>
      </c>
      <c r="G109" s="8" t="str">
        <f>VLOOKUP(F109,Agent_Table[],2,FALSE)</f>
        <v>Oka Anazodo</v>
      </c>
      <c r="H109" s="8" t="str">
        <f>IFERROR(VLOOKUP(Data_Table[[#This Row],[Ticket ID]],Product_Table[],2,FALSE),"")</f>
        <v>Performance &amp; Delivery</v>
      </c>
      <c r="I109" s="3" t="s">
        <v>7</v>
      </c>
      <c r="J109" s="8">
        <v>3</v>
      </c>
      <c r="K109" s="8">
        <v>3</v>
      </c>
      <c r="L109" s="8">
        <v>3</v>
      </c>
      <c r="M109" s="8">
        <v>3</v>
      </c>
      <c r="N109" s="8">
        <v>3</v>
      </c>
      <c r="O109" s="8">
        <v>3</v>
      </c>
      <c r="P109" s="8">
        <v>3</v>
      </c>
      <c r="Q109" s="8">
        <v>3</v>
      </c>
      <c r="R109" s="5" t="s">
        <v>3</v>
      </c>
      <c r="S109" s="5" t="str">
        <f>IF(MIN(Data_Table[[#This Row],[Grammar &amp; Syntax ]:[Quality of First Response]])&lt;=1,"Fail",IF(MIN(Data_Table[[#This Row],[Grammar &amp; Syntax ]:[Quality of First Response]])=2,"Neutral","Pass"))</f>
        <v>Pass</v>
      </c>
      <c r="T109" s="5" t="str">
        <f>IF(MIN(Data_Table[[#This Row],[Grammar &amp; Syntax ]:[Quality of First Response]])&lt;=1,"Fail",IF(MIN(Data_Table[[#This Row],[Grammar &amp; Syntax ]:[Quality of First Response]])=2,"Pass","Pass"))</f>
        <v>Pass</v>
      </c>
      <c r="U109" s="5">
        <f>IF(Data_Table[[#This Row],[Compliance Critical PF]]="Fail",1,0)</f>
        <v>0</v>
      </c>
      <c r="V109" s="5"/>
      <c r="W109" s="8">
        <v>3</v>
      </c>
      <c r="X109" s="8">
        <v>3</v>
      </c>
      <c r="Y109" s="8">
        <v>3</v>
      </c>
      <c r="Z109" s="8">
        <v>3</v>
      </c>
      <c r="AA109" s="1" t="s">
        <v>12</v>
      </c>
      <c r="AB109" s="8">
        <v>3</v>
      </c>
      <c r="AC109" s="8">
        <v>3</v>
      </c>
      <c r="AD109" s="8">
        <v>3</v>
      </c>
      <c r="AE109" s="1" t="s">
        <v>12</v>
      </c>
      <c r="AF109" s="7" t="s">
        <v>50</v>
      </c>
      <c r="AG109" s="7" t="str">
        <f>IF(MIN(Data_Table[[#This Row],[Priority Level]:[Effective escalation ]])&lt;=1,"Fail",IF(MIN(Data_Table[[#This Row],[Priority Level]:[Effective escalation ]])=2,"Neutral","Pass"))</f>
        <v>Pass</v>
      </c>
      <c r="AH109" s="2" t="str">
        <f>IF(MIN(Data_Table[[#This Row],[Priority Level]:[Effective escalation ]])&lt;=1,"Fail",IF(MIN(Data_Table[[#This Row],[Priority Level]:[Effective escalation ]])=2,"Pass","Pass"))</f>
        <v>Pass</v>
      </c>
      <c r="AI109" s="2" t="str">
        <f>IF(Data_Table[[#This Row],[Business Critical PF]]="Fail",1,"")</f>
        <v/>
      </c>
      <c r="AJ109" s="5"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109"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109" s="5" t="str">
        <f>IF(Data_Table[[#This Row],[Attribute Fail Rate PF]]="Fail",1,"")</f>
        <v/>
      </c>
      <c r="AM109" s="5">
        <f>1</f>
        <v>1</v>
      </c>
      <c r="AN109" s="5" t="str">
        <f>IF(Data_Table[[#This Row],[Attribute Fail Rate PF]]="Fail",Data_Table[[#This Row],[Ticket ID]],"")</f>
        <v/>
      </c>
      <c r="AO109" s="5" t="str" cm="1">
        <f t="array" ref="AO109">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110" spans="1:42" ht="15" customHeight="1" x14ac:dyDescent="0.25">
      <c r="A110" s="10">
        <v>44869</v>
      </c>
      <c r="B110" s="1" t="s">
        <v>1</v>
      </c>
      <c r="C110" s="1">
        <f t="shared" si="3"/>
        <v>45</v>
      </c>
      <c r="D110" s="1">
        <f>MATCH(Data_Table[[#This Row],[Week]],_xlfn._xlws.SORT(_xlfn.UNIQUE(Data_Table[Week]),1,-1),0)</f>
        <v>3</v>
      </c>
      <c r="E110" s="1" t="str">
        <f>TEXT(Data_Table[[#This Row],[Date of the Ticket for Review]],"mmm")</f>
        <v>Nov</v>
      </c>
      <c r="F110" s="8">
        <v>880983</v>
      </c>
      <c r="G110" s="8" t="str">
        <f>VLOOKUP(F110,Agent_Table[],2,FALSE)</f>
        <v>Oka Anazodo</v>
      </c>
      <c r="H110" s="8" t="str">
        <f>IFERROR(VLOOKUP(Data_Table[[#This Row],[Ticket ID]],Product_Table[],2,FALSE),"")</f>
        <v>Performance &amp; Delivery</v>
      </c>
      <c r="I110" s="3" t="s">
        <v>2</v>
      </c>
      <c r="J110" s="8">
        <v>3</v>
      </c>
      <c r="K110" s="8">
        <v>3</v>
      </c>
      <c r="L110" s="8">
        <v>3</v>
      </c>
      <c r="M110" s="8">
        <v>3</v>
      </c>
      <c r="N110" s="8">
        <v>3</v>
      </c>
      <c r="O110" s="8">
        <v>3</v>
      </c>
      <c r="P110" s="8">
        <v>3</v>
      </c>
      <c r="Q110" s="8">
        <v>3</v>
      </c>
      <c r="R110" s="5" t="s">
        <v>3</v>
      </c>
      <c r="S110" s="5" t="str">
        <f>IF(MIN(Data_Table[[#This Row],[Grammar &amp; Syntax ]:[Quality of First Response]])&lt;=1,"Fail",IF(MIN(Data_Table[[#This Row],[Grammar &amp; Syntax ]:[Quality of First Response]])=2,"Neutral","Pass"))</f>
        <v>Pass</v>
      </c>
      <c r="T110" s="5" t="str">
        <f>IF(MIN(Data_Table[[#This Row],[Grammar &amp; Syntax ]:[Quality of First Response]])&lt;=1,"Fail",IF(MIN(Data_Table[[#This Row],[Grammar &amp; Syntax ]:[Quality of First Response]])=2,"Pass","Pass"))</f>
        <v>Pass</v>
      </c>
      <c r="U110" s="5">
        <f>IF(Data_Table[[#This Row],[Compliance Critical PF]]="Fail",1,0)</f>
        <v>0</v>
      </c>
      <c r="V110" s="5"/>
      <c r="W110" s="8">
        <v>3</v>
      </c>
      <c r="X110" s="8">
        <v>3</v>
      </c>
      <c r="Y110" s="8">
        <v>3</v>
      </c>
      <c r="Z110" s="8">
        <v>2</v>
      </c>
      <c r="AA110" s="1" t="s">
        <v>12</v>
      </c>
      <c r="AB110" s="8">
        <v>3</v>
      </c>
      <c r="AC110" s="8">
        <v>3</v>
      </c>
      <c r="AD110" s="8">
        <v>3</v>
      </c>
      <c r="AE110" s="8">
        <v>3</v>
      </c>
      <c r="AF110" s="7" t="s">
        <v>51</v>
      </c>
      <c r="AG110" s="7" t="str">
        <f>IF(MIN(Data_Table[[#This Row],[Priority Level]:[Effective escalation ]])&lt;=1,"Fail",IF(MIN(Data_Table[[#This Row],[Priority Level]:[Effective escalation ]])=2,"Neutral","Pass"))</f>
        <v>Neutral</v>
      </c>
      <c r="AH110" s="2" t="str">
        <f>IF(MIN(Data_Table[[#This Row],[Priority Level]:[Effective escalation ]])&lt;=1,"Fail",IF(MIN(Data_Table[[#This Row],[Priority Level]:[Effective escalation ]])=2,"Pass","Pass"))</f>
        <v>Pass</v>
      </c>
      <c r="AI110" s="2" t="str">
        <f>IF(Data_Table[[#This Row],[Business Critical PF]]="Fail",1,"")</f>
        <v/>
      </c>
      <c r="AJ110" s="5" t="str">
        <f>IF(MIN(Data_Table[[#This Row],[Grammar &amp; Syntax ]:[Quality of First Response]],Data_Table[[#This Row],[Priority Level]:[Effective escalation ]])&lt;=1,"Fail",IF(MIN(Data_Table[[#This Row],[Grammar &amp; Syntax ]:[Quality of First Response]],Data_Table[[#This Row],[Priority Level]:[Effective escalation ]])=2,"Neutral","Pass"))</f>
        <v>Neutral</v>
      </c>
      <c r="AK110" s="5" t="str">
        <f>IF(MIN(Data_Table[[#This Row],[Grammar &amp; Syntax ]:[Quality of First Response]],Data_Table[[#This Row],[Priority Level]:[Effective escalation ]])&lt;=1,"Fail",IF(MIN(Data_Table[[#This Row],[Grammar &amp; Syntax ]:[Quality of First Response]],Data_Table[[#This Row],[Priority Level]:[Effective escalation ]])=2,"Pass","Pass"))</f>
        <v>Pass</v>
      </c>
      <c r="AL110" s="5" t="str">
        <f>IF(Data_Table[[#This Row],[Attribute Fail Rate PF]]="Fail",1,"")</f>
        <v/>
      </c>
      <c r="AM110" s="5">
        <f>1</f>
        <v>1</v>
      </c>
      <c r="AN110" s="5" t="str">
        <f>IF(Data_Table[[#This Row],[Attribute Fail Rate PF]]="Fail",Data_Table[[#This Row],[Ticket ID]],"")</f>
        <v/>
      </c>
      <c r="AO110" s="5" t="str" cm="1">
        <f t="array" ref="AO110">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111" spans="1:42" ht="15" customHeight="1" x14ac:dyDescent="0.25">
      <c r="A111" s="11">
        <v>44873</v>
      </c>
      <c r="B111" s="2" t="s">
        <v>6</v>
      </c>
      <c r="C111" s="2">
        <f t="shared" si="3"/>
        <v>46</v>
      </c>
      <c r="D111" s="2">
        <f>MATCH(Data_Table[[#This Row],[Week]],_xlfn._xlws.SORT(_xlfn.UNIQUE(Data_Table[Week]),1,-1),0)</f>
        <v>2</v>
      </c>
      <c r="E111" s="2" t="str">
        <f>TEXT(Data_Table[[#This Row],[Date of the Ticket for Review]],"mmm")</f>
        <v>Nov</v>
      </c>
      <c r="F111" s="13">
        <v>884647</v>
      </c>
      <c r="G111" s="13" t="str">
        <f>VLOOKUP(F111,Agent_Table[],2,FALSE)</f>
        <v>Sithu Hein</v>
      </c>
      <c r="H111" s="13" t="str">
        <f>IFERROR(VLOOKUP(Data_Table[[#This Row],[Ticket ID]],Product_Table[],2,FALSE),"")</f>
        <v>Measurement</v>
      </c>
      <c r="I111" s="4" t="s">
        <v>2</v>
      </c>
      <c r="J111" s="9">
        <v>3</v>
      </c>
      <c r="K111" s="9">
        <v>3</v>
      </c>
      <c r="L111" s="9">
        <v>3</v>
      </c>
      <c r="M111" s="9">
        <v>3</v>
      </c>
      <c r="N111" s="9">
        <v>3</v>
      </c>
      <c r="O111" s="9">
        <v>3</v>
      </c>
      <c r="P111" s="9">
        <v>3</v>
      </c>
      <c r="Q111" s="9">
        <v>3</v>
      </c>
      <c r="R111" s="6" t="s">
        <v>3</v>
      </c>
      <c r="S111" s="6" t="str">
        <f>IF(MIN(Data_Table[[#This Row],[Grammar &amp; Syntax ]:[Quality of First Response]])&lt;=1,"Fail",IF(MIN(Data_Table[[#This Row],[Grammar &amp; Syntax ]:[Quality of First Response]])=2,"Neutral","Pass"))</f>
        <v>Pass</v>
      </c>
      <c r="T111" s="6" t="str">
        <f>IF(MIN(Data_Table[[#This Row],[Grammar &amp; Syntax ]:[Quality of First Response]])&lt;=1,"Fail",IF(MIN(Data_Table[[#This Row],[Grammar &amp; Syntax ]:[Quality of First Response]])=2,"Pass","Pass"))</f>
        <v>Pass</v>
      </c>
      <c r="U111" s="6">
        <f>IF(Data_Table[[#This Row],[Compliance Critical PF]]="Fail",1,0)</f>
        <v>0</v>
      </c>
      <c r="V111" s="6"/>
      <c r="W111" s="8">
        <v>3</v>
      </c>
      <c r="X111" s="8">
        <v>3</v>
      </c>
      <c r="Y111" s="8">
        <v>3</v>
      </c>
      <c r="Z111" s="8">
        <v>3</v>
      </c>
      <c r="AA111" s="1" t="s">
        <v>12</v>
      </c>
      <c r="AB111" s="8">
        <v>3</v>
      </c>
      <c r="AC111" s="8">
        <v>3</v>
      </c>
      <c r="AD111" s="8">
        <v>2</v>
      </c>
      <c r="AE111" s="1" t="s">
        <v>12</v>
      </c>
      <c r="AF111" s="7" t="s">
        <v>56</v>
      </c>
      <c r="AG111" s="7" t="str">
        <f>IF(MIN(Data_Table[[#This Row],[Priority Level]:[Effective escalation ]])&lt;=1,"Fail",IF(MIN(Data_Table[[#This Row],[Priority Level]:[Effective escalation ]])=2,"Neutral","Pass"))</f>
        <v>Neutral</v>
      </c>
      <c r="AH111" s="2" t="str">
        <f>IF(MIN(Data_Table[[#This Row],[Priority Level]:[Effective escalation ]])&lt;=1,"Fail",IF(MIN(Data_Table[[#This Row],[Priority Level]:[Effective escalation ]])=2,"Pass","Pass"))</f>
        <v>Pass</v>
      </c>
      <c r="AI111" s="2" t="str">
        <f>IF(Data_Table[[#This Row],[Business Critical PF]]="Fail",1,"")</f>
        <v/>
      </c>
      <c r="AJ111" s="6" t="str">
        <f>IF(MIN(Data_Table[[#This Row],[Grammar &amp; Syntax ]:[Quality of First Response]],Data_Table[[#This Row],[Priority Level]:[Effective escalation ]])&lt;=1,"Fail",IF(MIN(Data_Table[[#This Row],[Grammar &amp; Syntax ]:[Quality of First Response]],Data_Table[[#This Row],[Priority Level]:[Effective escalation ]])=2,"Neutral","Pass"))</f>
        <v>Neutral</v>
      </c>
      <c r="AK111" s="6" t="str">
        <f>IF(MIN(Data_Table[[#This Row],[Grammar &amp; Syntax ]:[Quality of First Response]],Data_Table[[#This Row],[Priority Level]:[Effective escalation ]])&lt;=1,"Fail",IF(MIN(Data_Table[[#This Row],[Grammar &amp; Syntax ]:[Quality of First Response]],Data_Table[[#This Row],[Priority Level]:[Effective escalation ]])=2,"Pass","Pass"))</f>
        <v>Pass</v>
      </c>
      <c r="AL111" s="6" t="str">
        <f>IF(Data_Table[[#This Row],[Attribute Fail Rate PF]]="Fail",1,"")</f>
        <v/>
      </c>
      <c r="AM111" s="6">
        <f>1</f>
        <v>1</v>
      </c>
      <c r="AN111" s="6" t="str">
        <f>IF(Data_Table[[#This Row],[Attribute Fail Rate PF]]="Fail",Data_Table[[#This Row],[Ticket ID]],"")</f>
        <v/>
      </c>
      <c r="AO111" s="6" t="str" cm="1">
        <f t="array" ref="AO111">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c r="AP111" s="12"/>
    </row>
    <row r="112" spans="1:42" ht="15" customHeight="1" x14ac:dyDescent="0.25">
      <c r="A112" s="11">
        <v>44873</v>
      </c>
      <c r="B112" s="2" t="s">
        <v>6</v>
      </c>
      <c r="C112" s="2">
        <f t="shared" si="3"/>
        <v>46</v>
      </c>
      <c r="D112" s="2">
        <f>MATCH(Data_Table[[#This Row],[Week]],_xlfn._xlws.SORT(_xlfn.UNIQUE(Data_Table[Week]),1,-1),0)</f>
        <v>2</v>
      </c>
      <c r="E112" s="2" t="str">
        <f>TEXT(Data_Table[[#This Row],[Date of the Ticket for Review]],"mmm")</f>
        <v>Nov</v>
      </c>
      <c r="F112" s="9">
        <v>884695</v>
      </c>
      <c r="G112" s="9" t="str">
        <f>VLOOKUP(F112,Agent_Table[],2,FALSE)</f>
        <v>Sithu Hein</v>
      </c>
      <c r="H112" s="9" t="str">
        <f>IFERROR(VLOOKUP(Data_Table[[#This Row],[Ticket ID]],Product_Table[],2,FALSE),"")</f>
        <v>Platforms &amp; API</v>
      </c>
      <c r="I112" s="4" t="s">
        <v>2</v>
      </c>
      <c r="J112" s="9">
        <v>3</v>
      </c>
      <c r="K112" s="9">
        <v>3</v>
      </c>
      <c r="L112" s="9">
        <v>3</v>
      </c>
      <c r="M112" s="9">
        <v>3</v>
      </c>
      <c r="N112" s="9">
        <v>3</v>
      </c>
      <c r="O112" s="9">
        <v>3</v>
      </c>
      <c r="P112" s="9">
        <v>3</v>
      </c>
      <c r="Q112" s="9">
        <v>3</v>
      </c>
      <c r="R112" s="6" t="s">
        <v>3</v>
      </c>
      <c r="S112" s="6" t="str">
        <f>IF(MIN(Data_Table[[#This Row],[Grammar &amp; Syntax ]:[Quality of First Response]])&lt;=1,"Fail",IF(MIN(Data_Table[[#This Row],[Grammar &amp; Syntax ]:[Quality of First Response]])=2,"Neutral","Pass"))</f>
        <v>Pass</v>
      </c>
      <c r="T112" s="6" t="str">
        <f>IF(MIN(Data_Table[[#This Row],[Grammar &amp; Syntax ]:[Quality of First Response]])&lt;=1,"Fail",IF(MIN(Data_Table[[#This Row],[Grammar &amp; Syntax ]:[Quality of First Response]])=2,"Pass","Pass"))</f>
        <v>Pass</v>
      </c>
      <c r="U112" s="6">
        <f>IF(Data_Table[[#This Row],[Compliance Critical PF]]="Fail",1,0)</f>
        <v>0</v>
      </c>
      <c r="V112" s="6"/>
      <c r="W112" s="8">
        <v>3</v>
      </c>
      <c r="X112" s="8">
        <v>3</v>
      </c>
      <c r="Y112" s="8">
        <v>3</v>
      </c>
      <c r="Z112" s="8">
        <v>3</v>
      </c>
      <c r="AA112" s="1" t="s">
        <v>12</v>
      </c>
      <c r="AB112" s="8">
        <v>2</v>
      </c>
      <c r="AC112" s="8">
        <v>3</v>
      </c>
      <c r="AD112" s="8">
        <v>3</v>
      </c>
      <c r="AE112" s="1" t="s">
        <v>12</v>
      </c>
      <c r="AF112" s="7" t="s">
        <v>32</v>
      </c>
      <c r="AG112" s="7" t="str">
        <f>IF(MIN(Data_Table[[#This Row],[Priority Level]:[Effective escalation ]])&lt;=1,"Fail",IF(MIN(Data_Table[[#This Row],[Priority Level]:[Effective escalation ]])=2,"Neutral","Pass"))</f>
        <v>Neutral</v>
      </c>
      <c r="AH112" s="2" t="str">
        <f>IF(MIN(Data_Table[[#This Row],[Priority Level]:[Effective escalation ]])&lt;=1,"Fail",IF(MIN(Data_Table[[#This Row],[Priority Level]:[Effective escalation ]])=2,"Pass","Pass"))</f>
        <v>Pass</v>
      </c>
      <c r="AI112" s="2" t="str">
        <f>IF(Data_Table[[#This Row],[Business Critical PF]]="Fail",1,"")</f>
        <v/>
      </c>
      <c r="AJ112" s="6" t="str">
        <f>IF(MIN(Data_Table[[#This Row],[Grammar &amp; Syntax ]:[Quality of First Response]],Data_Table[[#This Row],[Priority Level]:[Effective escalation ]])&lt;=1,"Fail",IF(MIN(Data_Table[[#This Row],[Grammar &amp; Syntax ]:[Quality of First Response]],Data_Table[[#This Row],[Priority Level]:[Effective escalation ]])=2,"Neutral","Pass"))</f>
        <v>Neutral</v>
      </c>
      <c r="AK112" s="6" t="str">
        <f>IF(MIN(Data_Table[[#This Row],[Grammar &amp; Syntax ]:[Quality of First Response]],Data_Table[[#This Row],[Priority Level]:[Effective escalation ]])&lt;=1,"Fail",IF(MIN(Data_Table[[#This Row],[Grammar &amp; Syntax ]:[Quality of First Response]],Data_Table[[#This Row],[Priority Level]:[Effective escalation ]])=2,"Pass","Pass"))</f>
        <v>Pass</v>
      </c>
      <c r="AL112" s="6" t="str">
        <f>IF(Data_Table[[#This Row],[Attribute Fail Rate PF]]="Fail",1,"")</f>
        <v/>
      </c>
      <c r="AM112" s="6">
        <f>1</f>
        <v>1</v>
      </c>
      <c r="AN112" s="6" t="str">
        <f>IF(Data_Table[[#This Row],[Attribute Fail Rate PF]]="Fail",Data_Table[[#This Row],[Ticket ID]],"")</f>
        <v/>
      </c>
      <c r="AO112" s="6" t="str" cm="1">
        <f t="array" ref="AO112">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c r="AP112" s="12"/>
    </row>
    <row r="113" spans="1:42" ht="15" customHeight="1" x14ac:dyDescent="0.25">
      <c r="A113" s="11">
        <v>44874</v>
      </c>
      <c r="B113" s="2" t="s">
        <v>6</v>
      </c>
      <c r="C113" s="2">
        <f t="shared" si="3"/>
        <v>46</v>
      </c>
      <c r="D113" s="2">
        <f>MATCH(Data_Table[[#This Row],[Week]],_xlfn._xlws.SORT(_xlfn.UNIQUE(Data_Table[Week]),1,-1),0)</f>
        <v>2</v>
      </c>
      <c r="E113" s="2" t="str">
        <f>TEXT(Data_Table[[#This Row],[Date of the Ticket for Review]],"mmm")</f>
        <v>Nov</v>
      </c>
      <c r="F113" s="9">
        <v>888026</v>
      </c>
      <c r="G113" s="9" t="str">
        <f>VLOOKUP(F113,Agent_Table[],2,FALSE)</f>
        <v>Rafael Cardoso</v>
      </c>
      <c r="H113" s="9" t="str">
        <f>IFERROR(VLOOKUP(Data_Table[[#This Row],[Ticket ID]],Product_Table[],2,FALSE),"")</f>
        <v>Platforms &amp; API</v>
      </c>
      <c r="I113" s="4" t="s">
        <v>2</v>
      </c>
      <c r="J113" s="9">
        <v>3</v>
      </c>
      <c r="K113" s="9">
        <v>3</v>
      </c>
      <c r="L113" s="9">
        <v>3</v>
      </c>
      <c r="M113" s="9">
        <v>3</v>
      </c>
      <c r="N113" s="9">
        <v>3</v>
      </c>
      <c r="O113" s="9">
        <v>3</v>
      </c>
      <c r="P113" s="9">
        <v>3</v>
      </c>
      <c r="Q113" s="9">
        <v>3</v>
      </c>
      <c r="R113" s="6" t="s">
        <v>3</v>
      </c>
      <c r="S113" s="6" t="str">
        <f>IF(MIN(Data_Table[[#This Row],[Grammar &amp; Syntax ]:[Quality of First Response]])&lt;=1,"Fail",IF(MIN(Data_Table[[#This Row],[Grammar &amp; Syntax ]:[Quality of First Response]])=2,"Neutral","Pass"))</f>
        <v>Pass</v>
      </c>
      <c r="T113" s="6" t="str">
        <f>IF(MIN(Data_Table[[#This Row],[Grammar &amp; Syntax ]:[Quality of First Response]])&lt;=1,"Fail",IF(MIN(Data_Table[[#This Row],[Grammar &amp; Syntax ]:[Quality of First Response]])=2,"Pass","Pass"))</f>
        <v>Pass</v>
      </c>
      <c r="U113" s="6">
        <f>IF(Data_Table[[#This Row],[Compliance Critical PF]]="Fail",1,0)</f>
        <v>0</v>
      </c>
      <c r="V113" s="6"/>
      <c r="W113" s="8">
        <v>3</v>
      </c>
      <c r="X113" s="8">
        <v>3</v>
      </c>
      <c r="Y113" s="8">
        <v>3</v>
      </c>
      <c r="Z113" s="8">
        <v>2</v>
      </c>
      <c r="AA113" s="8">
        <v>3</v>
      </c>
      <c r="AB113" s="1" t="s">
        <v>12</v>
      </c>
      <c r="AC113" s="1" t="s">
        <v>12</v>
      </c>
      <c r="AD113" s="1" t="s">
        <v>12</v>
      </c>
      <c r="AE113" s="8">
        <v>3</v>
      </c>
      <c r="AF113" s="7" t="s">
        <v>57</v>
      </c>
      <c r="AG113" s="7" t="str">
        <f>IF(MIN(Data_Table[[#This Row],[Priority Level]:[Effective escalation ]])&lt;=1,"Fail",IF(MIN(Data_Table[[#This Row],[Priority Level]:[Effective escalation ]])=2,"Neutral","Pass"))</f>
        <v>Neutral</v>
      </c>
      <c r="AH113" s="2" t="str">
        <f>IF(MIN(Data_Table[[#This Row],[Priority Level]:[Effective escalation ]])&lt;=1,"Fail",IF(MIN(Data_Table[[#This Row],[Priority Level]:[Effective escalation ]])=2,"Pass","Pass"))</f>
        <v>Pass</v>
      </c>
      <c r="AI113" s="2" t="str">
        <f>IF(Data_Table[[#This Row],[Business Critical PF]]="Fail",1,"")</f>
        <v/>
      </c>
      <c r="AJ113" s="6" t="str">
        <f>IF(MIN(Data_Table[[#This Row],[Grammar &amp; Syntax ]:[Quality of First Response]],Data_Table[[#This Row],[Priority Level]:[Effective escalation ]])&lt;=1,"Fail",IF(MIN(Data_Table[[#This Row],[Grammar &amp; Syntax ]:[Quality of First Response]],Data_Table[[#This Row],[Priority Level]:[Effective escalation ]])=2,"Neutral","Pass"))</f>
        <v>Neutral</v>
      </c>
      <c r="AK113" s="6" t="str">
        <f>IF(MIN(Data_Table[[#This Row],[Grammar &amp; Syntax ]:[Quality of First Response]],Data_Table[[#This Row],[Priority Level]:[Effective escalation ]])&lt;=1,"Fail",IF(MIN(Data_Table[[#This Row],[Grammar &amp; Syntax ]:[Quality of First Response]],Data_Table[[#This Row],[Priority Level]:[Effective escalation ]])=2,"Pass","Pass"))</f>
        <v>Pass</v>
      </c>
      <c r="AL113" s="6" t="str">
        <f>IF(Data_Table[[#This Row],[Attribute Fail Rate PF]]="Fail",1,"")</f>
        <v/>
      </c>
      <c r="AM113" s="6">
        <f>1</f>
        <v>1</v>
      </c>
      <c r="AN113" s="6" t="str">
        <f>IF(Data_Table[[#This Row],[Attribute Fail Rate PF]]="Fail",Data_Table[[#This Row],[Ticket ID]],"")</f>
        <v/>
      </c>
      <c r="AO113" s="6" t="str" cm="1">
        <f t="array" ref="AO113">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c r="AP113" s="12"/>
    </row>
    <row r="114" spans="1:42" ht="15" customHeight="1" x14ac:dyDescent="0.25">
      <c r="A114" s="11">
        <v>44874</v>
      </c>
      <c r="B114" s="2" t="s">
        <v>6</v>
      </c>
      <c r="C114" s="2">
        <f t="shared" si="3"/>
        <v>46</v>
      </c>
      <c r="D114" s="2">
        <f>MATCH(Data_Table[[#This Row],[Week]],_xlfn._xlws.SORT(_xlfn.UNIQUE(Data_Table[Week]),1,-1),0)</f>
        <v>2</v>
      </c>
      <c r="E114" s="2" t="str">
        <f>TEXT(Data_Table[[#This Row],[Date of the Ticket for Review]],"mmm")</f>
        <v>Nov</v>
      </c>
      <c r="F114" s="9">
        <v>886509</v>
      </c>
      <c r="G114" s="9" t="str">
        <f>VLOOKUP(F114,Agent_Table[],2,FALSE)</f>
        <v>Rafael Cardoso</v>
      </c>
      <c r="H114" s="9" t="str">
        <f>IFERROR(VLOOKUP(Data_Table[[#This Row],[Ticket ID]],Product_Table[],2,FALSE),"")</f>
        <v>Native Branding Ads</v>
      </c>
      <c r="I114" s="4" t="s">
        <v>2</v>
      </c>
      <c r="J114" s="9">
        <v>3</v>
      </c>
      <c r="K114" s="9">
        <v>3</v>
      </c>
      <c r="L114" s="9">
        <v>3</v>
      </c>
      <c r="M114" s="9">
        <v>3</v>
      </c>
      <c r="N114" s="9">
        <v>3</v>
      </c>
      <c r="O114" s="9">
        <v>3</v>
      </c>
      <c r="P114" s="9">
        <v>3</v>
      </c>
      <c r="Q114" s="9">
        <v>3</v>
      </c>
      <c r="R114" s="6" t="s">
        <v>3</v>
      </c>
      <c r="S114" s="6" t="str">
        <f>IF(MIN(Data_Table[[#This Row],[Grammar &amp; Syntax ]:[Quality of First Response]])&lt;=1,"Fail",IF(MIN(Data_Table[[#This Row],[Grammar &amp; Syntax ]:[Quality of First Response]])=2,"Neutral","Pass"))</f>
        <v>Pass</v>
      </c>
      <c r="T114" s="6" t="str">
        <f>IF(MIN(Data_Table[[#This Row],[Grammar &amp; Syntax ]:[Quality of First Response]])&lt;=1,"Fail",IF(MIN(Data_Table[[#This Row],[Grammar &amp; Syntax ]:[Quality of First Response]])=2,"Pass","Pass"))</f>
        <v>Pass</v>
      </c>
      <c r="U114" s="6">
        <f>IF(Data_Table[[#This Row],[Compliance Critical PF]]="Fail",1,0)</f>
        <v>0</v>
      </c>
      <c r="V114" s="6"/>
      <c r="W114" s="8">
        <v>3</v>
      </c>
      <c r="X114" s="8">
        <v>3</v>
      </c>
      <c r="Y114" s="8">
        <v>3</v>
      </c>
      <c r="Z114" s="8">
        <v>3</v>
      </c>
      <c r="AA114" s="1" t="s">
        <v>12</v>
      </c>
      <c r="AB114" s="8">
        <v>3</v>
      </c>
      <c r="AC114" s="8">
        <v>3</v>
      </c>
      <c r="AD114" s="8">
        <v>3</v>
      </c>
      <c r="AE114" s="1" t="s">
        <v>12</v>
      </c>
      <c r="AF114" s="7" t="s">
        <v>58</v>
      </c>
      <c r="AG114" s="7" t="str">
        <f>IF(MIN(Data_Table[[#This Row],[Priority Level]:[Effective escalation ]])&lt;=1,"Fail",IF(MIN(Data_Table[[#This Row],[Priority Level]:[Effective escalation ]])=2,"Neutral","Pass"))</f>
        <v>Pass</v>
      </c>
      <c r="AH114" s="2" t="str">
        <f>IF(MIN(Data_Table[[#This Row],[Priority Level]:[Effective escalation ]])&lt;=1,"Fail",IF(MIN(Data_Table[[#This Row],[Priority Level]:[Effective escalation ]])=2,"Pass","Pass"))</f>
        <v>Pass</v>
      </c>
      <c r="AI114" s="2" t="str">
        <f>IF(Data_Table[[#This Row],[Business Critical PF]]="Fail",1,"")</f>
        <v/>
      </c>
      <c r="AJ114" s="6"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114" s="6" t="str">
        <f>IF(MIN(Data_Table[[#This Row],[Grammar &amp; Syntax ]:[Quality of First Response]],Data_Table[[#This Row],[Priority Level]:[Effective escalation ]])&lt;=1,"Fail",IF(MIN(Data_Table[[#This Row],[Grammar &amp; Syntax ]:[Quality of First Response]],Data_Table[[#This Row],[Priority Level]:[Effective escalation ]])=2,"Pass","Pass"))</f>
        <v>Pass</v>
      </c>
      <c r="AL114" s="6" t="str">
        <f>IF(Data_Table[[#This Row],[Attribute Fail Rate PF]]="Fail",1,"")</f>
        <v/>
      </c>
      <c r="AM114" s="6">
        <f>1</f>
        <v>1</v>
      </c>
      <c r="AN114" s="6" t="str">
        <f>IF(Data_Table[[#This Row],[Attribute Fail Rate PF]]="Fail",Data_Table[[#This Row],[Ticket ID]],"")</f>
        <v/>
      </c>
      <c r="AO114" s="6" t="str" cm="1">
        <f t="array" ref="AO114">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c r="AP114" s="12"/>
    </row>
    <row r="115" spans="1:42" ht="15" customHeight="1" x14ac:dyDescent="0.25">
      <c r="A115" s="11">
        <v>44874</v>
      </c>
      <c r="B115" s="2" t="s">
        <v>6</v>
      </c>
      <c r="C115" s="2">
        <f t="shared" si="3"/>
        <v>46</v>
      </c>
      <c r="D115" s="2">
        <f>MATCH(Data_Table[[#This Row],[Week]],_xlfn._xlws.SORT(_xlfn.UNIQUE(Data_Table[Week]),1,-1),0)</f>
        <v>2</v>
      </c>
      <c r="E115" s="2" t="str">
        <f>TEXT(Data_Table[[#This Row],[Date of the Ticket for Review]],"mmm")</f>
        <v>Nov</v>
      </c>
      <c r="F115" s="9">
        <v>886799</v>
      </c>
      <c r="G115" s="9" t="str">
        <f>VLOOKUP(F115,Agent_Table[],2,FALSE)</f>
        <v>Leandro Morais</v>
      </c>
      <c r="H115" s="9" t="str">
        <f>IFERROR(VLOOKUP(Data_Table[[#This Row],[Ticket ID]],Product_Table[],2,FALSE),"")</f>
        <v>Performance &amp; Delivery</v>
      </c>
      <c r="I115" s="4" t="s">
        <v>2</v>
      </c>
      <c r="J115" s="9">
        <v>3</v>
      </c>
      <c r="K115" s="9">
        <v>3</v>
      </c>
      <c r="L115" s="9">
        <v>3</v>
      </c>
      <c r="M115" s="9">
        <v>3</v>
      </c>
      <c r="N115" s="9">
        <v>3</v>
      </c>
      <c r="O115" s="9">
        <v>3</v>
      </c>
      <c r="P115" s="9">
        <v>3</v>
      </c>
      <c r="Q115" s="9">
        <v>3</v>
      </c>
      <c r="R115" s="6" t="s">
        <v>3</v>
      </c>
      <c r="S115" s="6" t="str">
        <f>IF(MIN(Data_Table[[#This Row],[Grammar &amp; Syntax ]:[Quality of First Response]])&lt;=1,"Fail",IF(MIN(Data_Table[[#This Row],[Grammar &amp; Syntax ]:[Quality of First Response]])=2,"Neutral","Pass"))</f>
        <v>Pass</v>
      </c>
      <c r="T115" s="6" t="str">
        <f>IF(MIN(Data_Table[[#This Row],[Grammar &amp; Syntax ]:[Quality of First Response]])&lt;=1,"Fail",IF(MIN(Data_Table[[#This Row],[Grammar &amp; Syntax ]:[Quality of First Response]])=2,"Pass","Pass"))</f>
        <v>Pass</v>
      </c>
      <c r="U115" s="6">
        <f>IF(Data_Table[[#This Row],[Compliance Critical PF]]="Fail",1,0)</f>
        <v>0</v>
      </c>
      <c r="V115" s="6"/>
      <c r="W115" s="8">
        <v>2</v>
      </c>
      <c r="X115" s="8">
        <v>3</v>
      </c>
      <c r="Y115" s="8">
        <v>2</v>
      </c>
      <c r="Z115" s="8">
        <v>3</v>
      </c>
      <c r="AA115" s="1" t="s">
        <v>12</v>
      </c>
      <c r="AB115" s="8">
        <v>3</v>
      </c>
      <c r="AC115" s="8">
        <v>3</v>
      </c>
      <c r="AD115" s="8">
        <v>3</v>
      </c>
      <c r="AE115" s="1" t="s">
        <v>12</v>
      </c>
      <c r="AF115" s="7" t="s">
        <v>59</v>
      </c>
      <c r="AG115" s="7" t="str">
        <f>IF(MIN(Data_Table[[#This Row],[Priority Level]:[Effective escalation ]])&lt;=1,"Fail",IF(MIN(Data_Table[[#This Row],[Priority Level]:[Effective escalation ]])=2,"Neutral","Pass"))</f>
        <v>Neutral</v>
      </c>
      <c r="AH115" s="2" t="str">
        <f>IF(MIN(Data_Table[[#This Row],[Priority Level]:[Effective escalation ]])&lt;=1,"Fail",IF(MIN(Data_Table[[#This Row],[Priority Level]:[Effective escalation ]])=2,"Pass","Pass"))</f>
        <v>Pass</v>
      </c>
      <c r="AI115" s="2" t="str">
        <f>IF(Data_Table[[#This Row],[Business Critical PF]]="Fail",1,"")</f>
        <v/>
      </c>
      <c r="AJ115" s="6" t="str">
        <f>IF(MIN(Data_Table[[#This Row],[Grammar &amp; Syntax ]:[Quality of First Response]],Data_Table[[#This Row],[Priority Level]:[Effective escalation ]])&lt;=1,"Fail",IF(MIN(Data_Table[[#This Row],[Grammar &amp; Syntax ]:[Quality of First Response]],Data_Table[[#This Row],[Priority Level]:[Effective escalation ]])=2,"Neutral","Pass"))</f>
        <v>Neutral</v>
      </c>
      <c r="AK115" s="6" t="str">
        <f>IF(MIN(Data_Table[[#This Row],[Grammar &amp; Syntax ]:[Quality of First Response]],Data_Table[[#This Row],[Priority Level]:[Effective escalation ]])&lt;=1,"Fail",IF(MIN(Data_Table[[#This Row],[Grammar &amp; Syntax ]:[Quality of First Response]],Data_Table[[#This Row],[Priority Level]:[Effective escalation ]])=2,"Pass","Pass"))</f>
        <v>Pass</v>
      </c>
      <c r="AL115" s="6" t="str">
        <f>IF(Data_Table[[#This Row],[Attribute Fail Rate PF]]="Fail",1,"")</f>
        <v/>
      </c>
      <c r="AM115" s="6">
        <f>1</f>
        <v>1</v>
      </c>
      <c r="AN115" s="6" t="str">
        <f>IF(Data_Table[[#This Row],[Attribute Fail Rate PF]]="Fail",Data_Table[[#This Row],[Ticket ID]],"")</f>
        <v/>
      </c>
      <c r="AO115" s="6" t="str" cm="1">
        <f t="array" ref="AO115">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c r="AP115" s="12"/>
    </row>
    <row r="116" spans="1:42" ht="15" customHeight="1" x14ac:dyDescent="0.25">
      <c r="A116" s="11">
        <v>44874</v>
      </c>
      <c r="B116" s="2" t="s">
        <v>6</v>
      </c>
      <c r="C116" s="2">
        <f t="shared" si="3"/>
        <v>46</v>
      </c>
      <c r="D116" s="2">
        <f>MATCH(Data_Table[[#This Row],[Week]],_xlfn._xlws.SORT(_xlfn.UNIQUE(Data_Table[Week]),1,-1),0)</f>
        <v>2</v>
      </c>
      <c r="E116" s="2" t="str">
        <f>TEXT(Data_Table[[#This Row],[Date of the Ticket for Review]],"mmm")</f>
        <v>Nov</v>
      </c>
      <c r="F116" s="9">
        <v>886730</v>
      </c>
      <c r="G116" s="9" t="str">
        <f>VLOOKUP(F116,Agent_Table[],2,FALSE)</f>
        <v>Leandro Morais</v>
      </c>
      <c r="H116" s="9" t="str">
        <f>IFERROR(VLOOKUP(Data_Table[[#This Row],[Ticket ID]],Product_Table[],2,FALSE),"")</f>
        <v>Measurement</v>
      </c>
      <c r="I116" s="4" t="s">
        <v>2</v>
      </c>
      <c r="J116" s="9">
        <v>3</v>
      </c>
      <c r="K116" s="9">
        <v>3</v>
      </c>
      <c r="L116" s="9">
        <v>3</v>
      </c>
      <c r="M116" s="9">
        <v>3</v>
      </c>
      <c r="N116" s="9">
        <v>3</v>
      </c>
      <c r="O116" s="9">
        <v>3</v>
      </c>
      <c r="P116" s="9">
        <v>3</v>
      </c>
      <c r="Q116" s="9">
        <v>3</v>
      </c>
      <c r="R116" s="6" t="s">
        <v>3</v>
      </c>
      <c r="S116" s="6" t="str">
        <f>IF(MIN(Data_Table[[#This Row],[Grammar &amp; Syntax ]:[Quality of First Response]])&lt;=1,"Fail",IF(MIN(Data_Table[[#This Row],[Grammar &amp; Syntax ]:[Quality of First Response]])=2,"Neutral","Pass"))</f>
        <v>Pass</v>
      </c>
      <c r="T116" s="6" t="str">
        <f>IF(MIN(Data_Table[[#This Row],[Grammar &amp; Syntax ]:[Quality of First Response]])&lt;=1,"Fail",IF(MIN(Data_Table[[#This Row],[Grammar &amp; Syntax ]:[Quality of First Response]])=2,"Pass","Pass"))</f>
        <v>Pass</v>
      </c>
      <c r="U116" s="6">
        <f>IF(Data_Table[[#This Row],[Compliance Critical PF]]="Fail",1,0)</f>
        <v>0</v>
      </c>
      <c r="V116" s="6"/>
      <c r="W116" s="1" t="s">
        <v>12</v>
      </c>
      <c r="X116" s="8">
        <v>3</v>
      </c>
      <c r="Y116" s="8">
        <v>3</v>
      </c>
      <c r="Z116" s="8">
        <v>3</v>
      </c>
      <c r="AA116" s="1" t="s">
        <v>12</v>
      </c>
      <c r="AB116" s="1" t="s">
        <v>12</v>
      </c>
      <c r="AC116" s="8">
        <v>3</v>
      </c>
      <c r="AD116" s="8">
        <v>1</v>
      </c>
      <c r="AE116" s="1" t="s">
        <v>12</v>
      </c>
      <c r="AF116" s="7" t="s">
        <v>60</v>
      </c>
      <c r="AG116" s="7" t="str">
        <f>IF(MIN(Data_Table[[#This Row],[Priority Level]:[Effective escalation ]])&lt;=1,"Fail",IF(MIN(Data_Table[[#This Row],[Priority Level]:[Effective escalation ]])=2,"Neutral","Pass"))</f>
        <v>Fail</v>
      </c>
      <c r="AH116" s="2" t="str">
        <f>IF(MIN(Data_Table[[#This Row],[Priority Level]:[Effective escalation ]])&lt;=1,"Fail",IF(MIN(Data_Table[[#This Row],[Priority Level]:[Effective escalation ]])=2,"Pass","Pass"))</f>
        <v>Fail</v>
      </c>
      <c r="AI116" s="2">
        <f>IF(Data_Table[[#This Row],[Business Critical PF]]="Fail",1,"")</f>
        <v>1</v>
      </c>
      <c r="AJ116" s="6" t="str">
        <f>IF(MIN(Data_Table[[#This Row],[Grammar &amp; Syntax ]:[Quality of First Response]],Data_Table[[#This Row],[Priority Level]:[Effective escalation ]])&lt;=1,"Fail",IF(MIN(Data_Table[[#This Row],[Grammar &amp; Syntax ]:[Quality of First Response]],Data_Table[[#This Row],[Priority Level]:[Effective escalation ]])=2,"Neutral","Pass"))</f>
        <v>Fail</v>
      </c>
      <c r="AK116" s="6" t="str">
        <f>IF(MIN(Data_Table[[#This Row],[Grammar &amp; Syntax ]:[Quality of First Response]],Data_Table[[#This Row],[Priority Level]:[Effective escalation ]])&lt;=1,"Fail",IF(MIN(Data_Table[[#This Row],[Grammar &amp; Syntax ]:[Quality of First Response]],Data_Table[[#This Row],[Priority Level]:[Effective escalation ]])=2,"Pass","Pass"))</f>
        <v>Fail</v>
      </c>
      <c r="AL116" s="6">
        <f>IF(Data_Table[[#This Row],[Attribute Fail Rate PF]]="Fail",1,"")</f>
        <v>1</v>
      </c>
      <c r="AM116" s="6">
        <f>1</f>
        <v>1</v>
      </c>
      <c r="AN116" s="6">
        <f>IF(Data_Table[[#This Row],[Attribute Fail Rate PF]]="Fail",Data_Table[[#This Row],[Ticket ID]],"")</f>
        <v>886730</v>
      </c>
      <c r="AO116" s="6" t="str" cm="1">
        <f t="array" ref="AO116">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Resolution time</v>
      </c>
      <c r="AP116" s="12"/>
    </row>
    <row r="117" spans="1:42" ht="15" customHeight="1" x14ac:dyDescent="0.25">
      <c r="A117" s="11">
        <v>44873</v>
      </c>
      <c r="B117" s="2" t="s">
        <v>6</v>
      </c>
      <c r="C117" s="2">
        <f t="shared" si="3"/>
        <v>46</v>
      </c>
      <c r="D117" s="2">
        <f>MATCH(Data_Table[[#This Row],[Week]],_xlfn._xlws.SORT(_xlfn.UNIQUE(Data_Table[Week]),1,-1),0)</f>
        <v>2</v>
      </c>
      <c r="E117" s="2" t="str">
        <f>TEXT(Data_Table[[#This Row],[Date of the Ticket for Review]],"mmm")</f>
        <v>Nov</v>
      </c>
      <c r="F117" s="9">
        <v>886376</v>
      </c>
      <c r="G117" s="9" t="str">
        <f>VLOOKUP(F117,Agent_Table[],2,FALSE)</f>
        <v>Elijah Cummings</v>
      </c>
      <c r="H117" s="9" t="str">
        <f>IFERROR(VLOOKUP(Data_Table[[#This Row],[Ticket ID]],Product_Table[],2,FALSE),"")</f>
        <v>Platforms &amp; API</v>
      </c>
      <c r="I117" s="4" t="s">
        <v>2</v>
      </c>
      <c r="J117" s="9">
        <v>3</v>
      </c>
      <c r="K117" s="9">
        <v>3</v>
      </c>
      <c r="L117" s="9">
        <v>3</v>
      </c>
      <c r="M117" s="9">
        <v>3</v>
      </c>
      <c r="N117" s="9">
        <v>3</v>
      </c>
      <c r="O117" s="9">
        <v>3</v>
      </c>
      <c r="P117" s="9">
        <v>3</v>
      </c>
      <c r="Q117" s="9">
        <v>3</v>
      </c>
      <c r="R117" s="6" t="s">
        <v>3</v>
      </c>
      <c r="S117" s="6" t="str">
        <f>IF(MIN(Data_Table[[#This Row],[Grammar &amp; Syntax ]:[Quality of First Response]])&lt;=1,"Fail",IF(MIN(Data_Table[[#This Row],[Grammar &amp; Syntax ]:[Quality of First Response]])=2,"Neutral","Pass"))</f>
        <v>Pass</v>
      </c>
      <c r="T117" s="6" t="str">
        <f>IF(MIN(Data_Table[[#This Row],[Grammar &amp; Syntax ]:[Quality of First Response]])&lt;=1,"Fail",IF(MIN(Data_Table[[#This Row],[Grammar &amp; Syntax ]:[Quality of First Response]])=2,"Pass","Pass"))</f>
        <v>Pass</v>
      </c>
      <c r="U117" s="6">
        <f>IF(Data_Table[[#This Row],[Compliance Critical PF]]="Fail",1,0)</f>
        <v>0</v>
      </c>
      <c r="V117" s="6"/>
      <c r="W117" s="8">
        <v>2</v>
      </c>
      <c r="X117" s="8">
        <v>3</v>
      </c>
      <c r="Y117" s="8">
        <v>2</v>
      </c>
      <c r="Z117" s="8">
        <v>3</v>
      </c>
      <c r="AA117" s="1" t="s">
        <v>12</v>
      </c>
      <c r="AB117" s="8">
        <v>3</v>
      </c>
      <c r="AC117" s="8">
        <v>2</v>
      </c>
      <c r="AD117" s="8">
        <v>3</v>
      </c>
      <c r="AE117" s="1" t="s">
        <v>12</v>
      </c>
      <c r="AF117" s="7" t="s">
        <v>61</v>
      </c>
      <c r="AG117" s="7" t="str">
        <f>IF(MIN(Data_Table[[#This Row],[Priority Level]:[Effective escalation ]])&lt;=1,"Fail",IF(MIN(Data_Table[[#This Row],[Priority Level]:[Effective escalation ]])=2,"Neutral","Pass"))</f>
        <v>Neutral</v>
      </c>
      <c r="AH117" s="2" t="str">
        <f>IF(MIN(Data_Table[[#This Row],[Priority Level]:[Effective escalation ]])&lt;=1,"Fail",IF(MIN(Data_Table[[#This Row],[Priority Level]:[Effective escalation ]])=2,"Pass","Pass"))</f>
        <v>Pass</v>
      </c>
      <c r="AI117" s="2" t="str">
        <f>IF(Data_Table[[#This Row],[Business Critical PF]]="Fail",1,"")</f>
        <v/>
      </c>
      <c r="AJ117" s="6" t="str">
        <f>IF(MIN(Data_Table[[#This Row],[Grammar &amp; Syntax ]:[Quality of First Response]],Data_Table[[#This Row],[Priority Level]:[Effective escalation ]])&lt;=1,"Fail",IF(MIN(Data_Table[[#This Row],[Grammar &amp; Syntax ]:[Quality of First Response]],Data_Table[[#This Row],[Priority Level]:[Effective escalation ]])=2,"Neutral","Pass"))</f>
        <v>Neutral</v>
      </c>
      <c r="AK117" s="6" t="str">
        <f>IF(MIN(Data_Table[[#This Row],[Grammar &amp; Syntax ]:[Quality of First Response]],Data_Table[[#This Row],[Priority Level]:[Effective escalation ]])&lt;=1,"Fail",IF(MIN(Data_Table[[#This Row],[Grammar &amp; Syntax ]:[Quality of First Response]],Data_Table[[#This Row],[Priority Level]:[Effective escalation ]])=2,"Pass","Pass"))</f>
        <v>Pass</v>
      </c>
      <c r="AL117" s="6" t="str">
        <f>IF(Data_Table[[#This Row],[Attribute Fail Rate PF]]="Fail",1,"")</f>
        <v/>
      </c>
      <c r="AM117" s="6">
        <f>1</f>
        <v>1</v>
      </c>
      <c r="AN117" s="6" t="str">
        <f>IF(Data_Table[[#This Row],[Attribute Fail Rate PF]]="Fail",Data_Table[[#This Row],[Ticket ID]],"")</f>
        <v/>
      </c>
      <c r="AO117" s="6" t="str" cm="1">
        <f t="array" ref="AO117">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c r="AP117" s="12"/>
    </row>
    <row r="118" spans="1:42" ht="15" customHeight="1" x14ac:dyDescent="0.25">
      <c r="A118" s="11">
        <v>44873</v>
      </c>
      <c r="B118" s="2" t="s">
        <v>6</v>
      </c>
      <c r="C118" s="2">
        <f t="shared" si="3"/>
        <v>46</v>
      </c>
      <c r="D118" s="2">
        <f>MATCH(Data_Table[[#This Row],[Week]],_xlfn._xlws.SORT(_xlfn.UNIQUE(Data_Table[Week]),1,-1),0)</f>
        <v>2</v>
      </c>
      <c r="E118" s="2" t="str">
        <f>TEXT(Data_Table[[#This Row],[Date of the Ticket for Review]],"mmm")</f>
        <v>Nov</v>
      </c>
      <c r="F118" s="9">
        <v>886390</v>
      </c>
      <c r="G118" s="9" t="str">
        <f>VLOOKUP(F118,Agent_Table[],2,FALSE)</f>
        <v>Elijah Cummings</v>
      </c>
      <c r="H118" s="9" t="str">
        <f>IFERROR(VLOOKUP(Data_Table[[#This Row],[Ticket ID]],Product_Table[],2,FALSE),"")</f>
        <v/>
      </c>
      <c r="I118" s="4" t="s">
        <v>2</v>
      </c>
      <c r="J118" s="9">
        <v>3</v>
      </c>
      <c r="K118" s="9">
        <v>3</v>
      </c>
      <c r="L118" s="9">
        <v>3</v>
      </c>
      <c r="M118" s="9">
        <v>3</v>
      </c>
      <c r="N118" s="9">
        <v>3</v>
      </c>
      <c r="O118" s="9">
        <v>3</v>
      </c>
      <c r="P118" s="9">
        <v>3</v>
      </c>
      <c r="Q118" s="9">
        <v>3</v>
      </c>
      <c r="R118" s="6" t="s">
        <v>3</v>
      </c>
      <c r="S118" s="6" t="str">
        <f>IF(MIN(Data_Table[[#This Row],[Grammar &amp; Syntax ]:[Quality of First Response]])&lt;=1,"Fail",IF(MIN(Data_Table[[#This Row],[Grammar &amp; Syntax ]:[Quality of First Response]])=2,"Neutral","Pass"))</f>
        <v>Pass</v>
      </c>
      <c r="T118" s="6" t="str">
        <f>IF(MIN(Data_Table[[#This Row],[Grammar &amp; Syntax ]:[Quality of First Response]])&lt;=1,"Fail",IF(MIN(Data_Table[[#This Row],[Grammar &amp; Syntax ]:[Quality of First Response]])=2,"Pass","Pass"))</f>
        <v>Pass</v>
      </c>
      <c r="U118" s="6">
        <f>IF(Data_Table[[#This Row],[Compliance Critical PF]]="Fail",1,0)</f>
        <v>0</v>
      </c>
      <c r="V118" s="6"/>
      <c r="W118" s="8">
        <v>3</v>
      </c>
      <c r="X118" s="8">
        <v>3</v>
      </c>
      <c r="Y118" s="8">
        <v>2</v>
      </c>
      <c r="Z118" s="8">
        <v>3</v>
      </c>
      <c r="AA118" s="1" t="s">
        <v>12</v>
      </c>
      <c r="AB118" s="8">
        <v>1</v>
      </c>
      <c r="AC118" s="8">
        <v>3</v>
      </c>
      <c r="AD118" s="8">
        <v>1</v>
      </c>
      <c r="AE118" s="1" t="s">
        <v>12</v>
      </c>
      <c r="AF118" s="7" t="s">
        <v>62</v>
      </c>
      <c r="AG118" s="7" t="str">
        <f>IF(MIN(Data_Table[[#This Row],[Priority Level]:[Effective escalation ]])&lt;=1,"Fail",IF(MIN(Data_Table[[#This Row],[Priority Level]:[Effective escalation ]])=2,"Neutral","Pass"))</f>
        <v>Fail</v>
      </c>
      <c r="AH118" s="2" t="str">
        <f>IF(MIN(Data_Table[[#This Row],[Priority Level]:[Effective escalation ]])&lt;=1,"Fail",IF(MIN(Data_Table[[#This Row],[Priority Level]:[Effective escalation ]])=2,"Pass","Pass"))</f>
        <v>Fail</v>
      </c>
      <c r="AI118" s="2">
        <f>IF(Data_Table[[#This Row],[Business Critical PF]]="Fail",1,"")</f>
        <v>1</v>
      </c>
      <c r="AJ118" s="6" t="str">
        <f>IF(MIN(Data_Table[[#This Row],[Grammar &amp; Syntax ]:[Quality of First Response]],Data_Table[[#This Row],[Priority Level]:[Effective escalation ]])&lt;=1,"Fail",IF(MIN(Data_Table[[#This Row],[Grammar &amp; Syntax ]:[Quality of First Response]],Data_Table[[#This Row],[Priority Level]:[Effective escalation ]])=2,"Neutral","Pass"))</f>
        <v>Fail</v>
      </c>
      <c r="AK118" s="6" t="str">
        <f>IF(MIN(Data_Table[[#This Row],[Grammar &amp; Syntax ]:[Quality of First Response]],Data_Table[[#This Row],[Priority Level]:[Effective escalation ]])&lt;=1,"Fail",IF(MIN(Data_Table[[#This Row],[Grammar &amp; Syntax ]:[Quality of First Response]],Data_Table[[#This Row],[Priority Level]:[Effective escalation ]])=2,"Pass","Pass"))</f>
        <v>Fail</v>
      </c>
      <c r="AL118" s="6">
        <f>IF(Data_Table[[#This Row],[Attribute Fail Rate PF]]="Fail",1,"")</f>
        <v>1</v>
      </c>
      <c r="AM118" s="6">
        <f>1</f>
        <v>1</v>
      </c>
      <c r="AN118" s="6">
        <f>IF(Data_Table[[#This Row],[Attribute Fail Rate PF]]="Fail",Data_Table[[#This Row],[Ticket ID]],"")</f>
        <v>886390</v>
      </c>
      <c r="AO118" s="6" t="str" cm="1">
        <f t="array" ref="AO118">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Solution Acceptability , Resolution time</v>
      </c>
      <c r="AP118" s="12"/>
    </row>
    <row r="119" spans="1:42" ht="15" customHeight="1" x14ac:dyDescent="0.25">
      <c r="A119" s="11">
        <v>44874</v>
      </c>
      <c r="B119" s="2" t="s">
        <v>6</v>
      </c>
      <c r="C119" s="2">
        <f t="shared" si="3"/>
        <v>46</v>
      </c>
      <c r="D119" s="2">
        <f>MATCH(Data_Table[[#This Row],[Week]],_xlfn._xlws.SORT(_xlfn.UNIQUE(Data_Table[Week]),1,-1),0)</f>
        <v>2</v>
      </c>
      <c r="E119" s="2" t="str">
        <f>TEXT(Data_Table[[#This Row],[Date of the Ticket for Review]],"mmm")</f>
        <v>Nov</v>
      </c>
      <c r="F119" s="9">
        <v>886738</v>
      </c>
      <c r="G119" s="9" t="str">
        <f>VLOOKUP(F119,Agent_Table[],2,FALSE)</f>
        <v>Bonnie Williams</v>
      </c>
      <c r="H119" s="9" t="str">
        <f>IFERROR(VLOOKUP(Data_Table[[#This Row],[Ticket ID]],Product_Table[],2,FALSE),"")</f>
        <v>Measurement</v>
      </c>
      <c r="I119" s="4" t="s">
        <v>2</v>
      </c>
      <c r="J119" s="9">
        <v>3</v>
      </c>
      <c r="K119" s="9">
        <v>3</v>
      </c>
      <c r="L119" s="9">
        <v>3</v>
      </c>
      <c r="M119" s="9">
        <v>3</v>
      </c>
      <c r="N119" s="9">
        <v>3</v>
      </c>
      <c r="O119" s="9">
        <v>3</v>
      </c>
      <c r="P119" s="9">
        <v>3</v>
      </c>
      <c r="Q119" s="9">
        <v>3</v>
      </c>
      <c r="R119" s="6" t="s">
        <v>3</v>
      </c>
      <c r="S119" s="6" t="str">
        <f>IF(MIN(Data_Table[[#This Row],[Grammar &amp; Syntax ]:[Quality of First Response]])&lt;=1,"Fail",IF(MIN(Data_Table[[#This Row],[Grammar &amp; Syntax ]:[Quality of First Response]])=2,"Neutral","Pass"))</f>
        <v>Pass</v>
      </c>
      <c r="T119" s="6" t="str">
        <f>IF(MIN(Data_Table[[#This Row],[Grammar &amp; Syntax ]:[Quality of First Response]])&lt;=1,"Fail",IF(MIN(Data_Table[[#This Row],[Grammar &amp; Syntax ]:[Quality of First Response]])=2,"Pass","Pass"))</f>
        <v>Pass</v>
      </c>
      <c r="U119" s="6">
        <f>IF(Data_Table[[#This Row],[Compliance Critical PF]]="Fail",1,0)</f>
        <v>0</v>
      </c>
      <c r="V119" s="6"/>
      <c r="W119" s="8">
        <v>3</v>
      </c>
      <c r="X119" s="8">
        <v>3</v>
      </c>
      <c r="Y119" s="8">
        <v>1</v>
      </c>
      <c r="Z119" s="8">
        <v>2</v>
      </c>
      <c r="AA119" s="1" t="s">
        <v>12</v>
      </c>
      <c r="AB119" s="1" t="s">
        <v>12</v>
      </c>
      <c r="AC119" s="8">
        <v>3</v>
      </c>
      <c r="AD119" s="8">
        <v>2</v>
      </c>
      <c r="AE119" s="1" t="s">
        <v>12</v>
      </c>
      <c r="AF119" s="7" t="s">
        <v>63</v>
      </c>
      <c r="AG119" s="7" t="str">
        <f>IF(MIN(Data_Table[[#This Row],[Priority Level]:[Effective escalation ]])&lt;=1,"Fail",IF(MIN(Data_Table[[#This Row],[Priority Level]:[Effective escalation ]])=2,"Neutral","Pass"))</f>
        <v>Fail</v>
      </c>
      <c r="AH119" s="2" t="str">
        <f>IF(MIN(Data_Table[[#This Row],[Priority Level]:[Effective escalation ]])&lt;=1,"Fail",IF(MIN(Data_Table[[#This Row],[Priority Level]:[Effective escalation ]])=2,"Pass","Pass"))</f>
        <v>Fail</v>
      </c>
      <c r="AI119" s="2">
        <f>IF(Data_Table[[#This Row],[Business Critical PF]]="Fail",1,"")</f>
        <v>1</v>
      </c>
      <c r="AJ119" s="6" t="str">
        <f>IF(MIN(Data_Table[[#This Row],[Grammar &amp; Syntax ]:[Quality of First Response]],Data_Table[[#This Row],[Priority Level]:[Effective escalation ]])&lt;=1,"Fail",IF(MIN(Data_Table[[#This Row],[Grammar &amp; Syntax ]:[Quality of First Response]],Data_Table[[#This Row],[Priority Level]:[Effective escalation ]])=2,"Neutral","Pass"))</f>
        <v>Fail</v>
      </c>
      <c r="AK119" s="6" t="str">
        <f>IF(MIN(Data_Table[[#This Row],[Grammar &amp; Syntax ]:[Quality of First Response]],Data_Table[[#This Row],[Priority Level]:[Effective escalation ]])&lt;=1,"Fail",IF(MIN(Data_Table[[#This Row],[Grammar &amp; Syntax ]:[Quality of First Response]],Data_Table[[#This Row],[Priority Level]:[Effective escalation ]])=2,"Pass","Pass"))</f>
        <v>Fail</v>
      </c>
      <c r="AL119" s="6">
        <f>IF(Data_Table[[#This Row],[Attribute Fail Rate PF]]="Fail",1,"")</f>
        <v>1</v>
      </c>
      <c r="AM119" s="6">
        <f>1</f>
        <v>1</v>
      </c>
      <c r="AN119" s="6">
        <f>IF(Data_Table[[#This Row],[Attribute Fail Rate PF]]="Fail",Data_Table[[#This Row],[Ticket ID]],"")</f>
        <v>886738</v>
      </c>
      <c r="AO119" s="6" t="str" cm="1">
        <f t="array" ref="AO119">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Product Information</v>
      </c>
      <c r="AP119" s="12"/>
    </row>
    <row r="120" spans="1:42" ht="15" customHeight="1" x14ac:dyDescent="0.25">
      <c r="A120" s="11">
        <v>44874</v>
      </c>
      <c r="B120" s="2" t="s">
        <v>6</v>
      </c>
      <c r="C120" s="2">
        <f t="shared" si="3"/>
        <v>46</v>
      </c>
      <c r="D120" s="2">
        <f>MATCH(Data_Table[[#This Row],[Week]],_xlfn._xlws.SORT(_xlfn.UNIQUE(Data_Table[Week]),1,-1),0)</f>
        <v>2</v>
      </c>
      <c r="E120" s="2" t="str">
        <f>TEXT(Data_Table[[#This Row],[Date of the Ticket for Review]],"mmm")</f>
        <v>Nov</v>
      </c>
      <c r="F120" s="9">
        <v>886817</v>
      </c>
      <c r="G120" s="9" t="str">
        <f>VLOOKUP(F120,Agent_Table[],2,FALSE)</f>
        <v>Bonnie Williams</v>
      </c>
      <c r="H120" s="9" t="str">
        <f>IFERROR(VLOOKUP(Data_Table[[#This Row],[Ticket ID]],Product_Table[],2,FALSE),"")</f>
        <v>Measurement</v>
      </c>
      <c r="I120" s="4" t="s">
        <v>2</v>
      </c>
      <c r="J120" s="9">
        <v>3</v>
      </c>
      <c r="K120" s="9">
        <v>3</v>
      </c>
      <c r="L120" s="9">
        <v>3</v>
      </c>
      <c r="M120" s="9">
        <v>3</v>
      </c>
      <c r="N120" s="9">
        <v>3</v>
      </c>
      <c r="O120" s="9">
        <v>3</v>
      </c>
      <c r="P120" s="9">
        <v>3</v>
      </c>
      <c r="Q120" s="9">
        <v>3</v>
      </c>
      <c r="R120" s="6" t="s">
        <v>3</v>
      </c>
      <c r="S120" s="6" t="str">
        <f>IF(MIN(Data_Table[[#This Row],[Grammar &amp; Syntax ]:[Quality of First Response]])&lt;=1,"Fail",IF(MIN(Data_Table[[#This Row],[Grammar &amp; Syntax ]:[Quality of First Response]])=2,"Neutral","Pass"))</f>
        <v>Pass</v>
      </c>
      <c r="T120" s="6" t="str">
        <f>IF(MIN(Data_Table[[#This Row],[Grammar &amp; Syntax ]:[Quality of First Response]])&lt;=1,"Fail",IF(MIN(Data_Table[[#This Row],[Grammar &amp; Syntax ]:[Quality of First Response]])=2,"Pass","Pass"))</f>
        <v>Pass</v>
      </c>
      <c r="U120" s="6">
        <f>IF(Data_Table[[#This Row],[Compliance Critical PF]]="Fail",1,0)</f>
        <v>0</v>
      </c>
      <c r="V120" s="6"/>
      <c r="W120" s="8">
        <v>3</v>
      </c>
      <c r="X120" s="8">
        <v>3</v>
      </c>
      <c r="Y120" s="8">
        <v>3</v>
      </c>
      <c r="Z120" s="8">
        <v>2</v>
      </c>
      <c r="AA120" s="1" t="s">
        <v>12</v>
      </c>
      <c r="AB120" s="8">
        <v>2</v>
      </c>
      <c r="AC120" s="8">
        <v>3</v>
      </c>
      <c r="AD120" s="8">
        <v>3</v>
      </c>
      <c r="AE120" s="1" t="s">
        <v>12</v>
      </c>
      <c r="AF120" s="7" t="s">
        <v>15</v>
      </c>
      <c r="AG120" s="7" t="str">
        <f>IF(MIN(Data_Table[[#This Row],[Priority Level]:[Effective escalation ]])&lt;=1,"Fail",IF(MIN(Data_Table[[#This Row],[Priority Level]:[Effective escalation ]])=2,"Neutral","Pass"))</f>
        <v>Neutral</v>
      </c>
      <c r="AH120" s="2" t="str">
        <f>IF(MIN(Data_Table[[#This Row],[Priority Level]:[Effective escalation ]])&lt;=1,"Fail",IF(MIN(Data_Table[[#This Row],[Priority Level]:[Effective escalation ]])=2,"Pass","Pass"))</f>
        <v>Pass</v>
      </c>
      <c r="AI120" s="2" t="str">
        <f>IF(Data_Table[[#This Row],[Business Critical PF]]="Fail",1,"")</f>
        <v/>
      </c>
      <c r="AJ120" s="6" t="str">
        <f>IF(MIN(Data_Table[[#This Row],[Grammar &amp; Syntax ]:[Quality of First Response]],Data_Table[[#This Row],[Priority Level]:[Effective escalation ]])&lt;=1,"Fail",IF(MIN(Data_Table[[#This Row],[Grammar &amp; Syntax ]:[Quality of First Response]],Data_Table[[#This Row],[Priority Level]:[Effective escalation ]])=2,"Neutral","Pass"))</f>
        <v>Neutral</v>
      </c>
      <c r="AK120" s="6" t="str">
        <f>IF(MIN(Data_Table[[#This Row],[Grammar &amp; Syntax ]:[Quality of First Response]],Data_Table[[#This Row],[Priority Level]:[Effective escalation ]])&lt;=1,"Fail",IF(MIN(Data_Table[[#This Row],[Grammar &amp; Syntax ]:[Quality of First Response]],Data_Table[[#This Row],[Priority Level]:[Effective escalation ]])=2,"Pass","Pass"))</f>
        <v>Pass</v>
      </c>
      <c r="AL120" s="6" t="str">
        <f>IF(Data_Table[[#This Row],[Attribute Fail Rate PF]]="Fail",1,"")</f>
        <v/>
      </c>
      <c r="AM120" s="6">
        <f>1</f>
        <v>1</v>
      </c>
      <c r="AN120" s="6" t="str">
        <f>IF(Data_Table[[#This Row],[Attribute Fail Rate PF]]="Fail",Data_Table[[#This Row],[Ticket ID]],"")</f>
        <v/>
      </c>
      <c r="AO120" s="6" t="str" cm="1">
        <f t="array" ref="AO120">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c r="AP120" s="12"/>
    </row>
    <row r="121" spans="1:42" ht="15" customHeight="1" x14ac:dyDescent="0.25">
      <c r="A121" s="11">
        <v>44873</v>
      </c>
      <c r="B121" s="2" t="s">
        <v>6</v>
      </c>
      <c r="C121" s="2">
        <f t="shared" si="3"/>
        <v>46</v>
      </c>
      <c r="D121" s="2">
        <f>MATCH(Data_Table[[#This Row],[Week]],_xlfn._xlws.SORT(_xlfn.UNIQUE(Data_Table[Week]),1,-1),0)</f>
        <v>2</v>
      </c>
      <c r="E121" s="2" t="str">
        <f>TEXT(Data_Table[[#This Row],[Date of the Ticket for Review]],"mmm")</f>
        <v>Nov</v>
      </c>
      <c r="F121" s="9">
        <v>886397</v>
      </c>
      <c r="G121" s="9" t="str">
        <f>VLOOKUP(F121,Agent_Table[],2,FALSE)</f>
        <v>Deniece Inda</v>
      </c>
      <c r="H121" s="9" t="str">
        <f>IFERROR(VLOOKUP(Data_Table[[#This Row],[Ticket ID]],Product_Table[],2,FALSE),"")</f>
        <v>Performance &amp; Delivery</v>
      </c>
      <c r="I121" s="4" t="s">
        <v>2</v>
      </c>
      <c r="J121" s="9">
        <v>3</v>
      </c>
      <c r="K121" s="9">
        <v>3</v>
      </c>
      <c r="L121" s="9">
        <v>3</v>
      </c>
      <c r="M121" s="9">
        <v>1</v>
      </c>
      <c r="N121" s="9">
        <v>3</v>
      </c>
      <c r="O121" s="9">
        <v>3</v>
      </c>
      <c r="P121" s="9">
        <v>3</v>
      </c>
      <c r="Q121" s="9">
        <v>3</v>
      </c>
      <c r="R121" s="6" t="s">
        <v>52</v>
      </c>
      <c r="S121" s="6" t="str">
        <f>IF(MIN(Data_Table[[#This Row],[Grammar &amp; Syntax ]:[Quality of First Response]])&lt;=1,"Fail",IF(MIN(Data_Table[[#This Row],[Grammar &amp; Syntax ]:[Quality of First Response]])=2,"Neutral","Pass"))</f>
        <v>Fail</v>
      </c>
      <c r="T121" s="6" t="str">
        <f>IF(MIN(Data_Table[[#This Row],[Grammar &amp; Syntax ]:[Quality of First Response]])&lt;=1,"Fail",IF(MIN(Data_Table[[#This Row],[Grammar &amp; Syntax ]:[Quality of First Response]])=2,"Pass","Pass"))</f>
        <v>Fail</v>
      </c>
      <c r="U121" s="6">
        <f>IF(Data_Table[[#This Row],[Compliance Critical PF]]="Fail",1,0)</f>
        <v>1</v>
      </c>
      <c r="V121" s="6"/>
      <c r="W121" s="8">
        <v>2</v>
      </c>
      <c r="X121" s="8">
        <v>3</v>
      </c>
      <c r="Y121" s="8">
        <v>2</v>
      </c>
      <c r="Z121" s="8">
        <v>3</v>
      </c>
      <c r="AA121" s="1" t="s">
        <v>12</v>
      </c>
      <c r="AB121" s="8">
        <v>3</v>
      </c>
      <c r="AC121" s="8">
        <v>3</v>
      </c>
      <c r="AD121" s="8">
        <v>3</v>
      </c>
      <c r="AE121" s="1" t="s">
        <v>12</v>
      </c>
      <c r="AF121" s="7" t="s">
        <v>64</v>
      </c>
      <c r="AG121" s="7" t="str">
        <f>IF(MIN(Data_Table[[#This Row],[Priority Level]:[Effective escalation ]])&lt;=1,"Fail",IF(MIN(Data_Table[[#This Row],[Priority Level]:[Effective escalation ]])=2,"Neutral","Pass"))</f>
        <v>Neutral</v>
      </c>
      <c r="AH121" s="2" t="str">
        <f>IF(MIN(Data_Table[[#This Row],[Priority Level]:[Effective escalation ]])&lt;=1,"Fail",IF(MIN(Data_Table[[#This Row],[Priority Level]:[Effective escalation ]])=2,"Pass","Pass"))</f>
        <v>Pass</v>
      </c>
      <c r="AI121" s="2" t="str">
        <f>IF(Data_Table[[#This Row],[Business Critical PF]]="Fail",1,"")</f>
        <v/>
      </c>
      <c r="AJ121" s="6" t="str">
        <f>IF(MIN(Data_Table[[#This Row],[Grammar &amp; Syntax ]:[Quality of First Response]],Data_Table[[#This Row],[Priority Level]:[Effective escalation ]])&lt;=1,"Fail",IF(MIN(Data_Table[[#This Row],[Grammar &amp; Syntax ]:[Quality of First Response]],Data_Table[[#This Row],[Priority Level]:[Effective escalation ]])=2,"Neutral","Pass"))</f>
        <v>Fail</v>
      </c>
      <c r="AK121" s="6" t="str">
        <f>IF(MIN(Data_Table[[#This Row],[Grammar &amp; Syntax ]:[Quality of First Response]],Data_Table[[#This Row],[Priority Level]:[Effective escalation ]])&lt;=1,"Fail",IF(MIN(Data_Table[[#This Row],[Grammar &amp; Syntax ]:[Quality of First Response]],Data_Table[[#This Row],[Priority Level]:[Effective escalation ]])=2,"Pass","Pass"))</f>
        <v>Fail</v>
      </c>
      <c r="AL121" s="6">
        <f>IF(Data_Table[[#This Row],[Attribute Fail Rate PF]]="Fail",1,"")</f>
        <v>1</v>
      </c>
      <c r="AM121" s="6">
        <f>1</f>
        <v>1</v>
      </c>
      <c r="AN121" s="6">
        <f>IF(Data_Table[[#This Row],[Attribute Fail Rate PF]]="Fail",Data_Table[[#This Row],[Ticket ID]],"")</f>
        <v>886397</v>
      </c>
      <c r="AO121" s="6" t="str" cm="1">
        <f t="array" ref="AO121">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Positive Tone</v>
      </c>
      <c r="AP121" s="12"/>
    </row>
    <row r="122" spans="1:42" ht="15" customHeight="1" x14ac:dyDescent="0.25">
      <c r="A122" s="11">
        <v>44872</v>
      </c>
      <c r="B122" s="2" t="s">
        <v>6</v>
      </c>
      <c r="C122" s="2">
        <f t="shared" si="3"/>
        <v>46</v>
      </c>
      <c r="D122" s="2">
        <f>MATCH(Data_Table[[#This Row],[Week]],_xlfn._xlws.SORT(_xlfn.UNIQUE(Data_Table[Week]),1,-1),0)</f>
        <v>2</v>
      </c>
      <c r="E122" s="2" t="str">
        <f>TEXT(Data_Table[[#This Row],[Date of the Ticket for Review]],"mmm")</f>
        <v>Nov</v>
      </c>
      <c r="F122" s="9">
        <v>884439</v>
      </c>
      <c r="G122" s="9" t="str">
        <f>VLOOKUP(F122,Agent_Table[],2,FALSE)</f>
        <v>Deniece Inda</v>
      </c>
      <c r="H122" s="9" t="str">
        <f>IFERROR(VLOOKUP(Data_Table[[#This Row],[Ticket ID]],Product_Table[],2,FALSE),"")</f>
        <v>Performance &amp; Delivery</v>
      </c>
      <c r="I122" s="4" t="s">
        <v>2</v>
      </c>
      <c r="J122" s="9">
        <v>3</v>
      </c>
      <c r="K122" s="9">
        <v>3</v>
      </c>
      <c r="L122" s="9">
        <v>3</v>
      </c>
      <c r="M122" s="9">
        <v>3</v>
      </c>
      <c r="N122" s="9">
        <v>3</v>
      </c>
      <c r="O122" s="9">
        <v>3</v>
      </c>
      <c r="P122" s="9">
        <v>3</v>
      </c>
      <c r="Q122" s="9">
        <v>3</v>
      </c>
      <c r="R122" s="6" t="s">
        <v>3</v>
      </c>
      <c r="S122" s="6" t="str">
        <f>IF(MIN(Data_Table[[#This Row],[Grammar &amp; Syntax ]:[Quality of First Response]])&lt;=1,"Fail",IF(MIN(Data_Table[[#This Row],[Grammar &amp; Syntax ]:[Quality of First Response]])=2,"Neutral","Pass"))</f>
        <v>Pass</v>
      </c>
      <c r="T122" s="6" t="str">
        <f>IF(MIN(Data_Table[[#This Row],[Grammar &amp; Syntax ]:[Quality of First Response]])&lt;=1,"Fail",IF(MIN(Data_Table[[#This Row],[Grammar &amp; Syntax ]:[Quality of First Response]])=2,"Pass","Pass"))</f>
        <v>Pass</v>
      </c>
      <c r="U122" s="6">
        <f>IF(Data_Table[[#This Row],[Compliance Critical PF]]="Fail",1,0)</f>
        <v>0</v>
      </c>
      <c r="V122" s="6"/>
      <c r="W122" s="8">
        <v>3</v>
      </c>
      <c r="X122" s="8">
        <v>3</v>
      </c>
      <c r="Y122" s="8">
        <v>3</v>
      </c>
      <c r="Z122" s="8">
        <v>3</v>
      </c>
      <c r="AA122" s="8">
        <v>3</v>
      </c>
      <c r="AB122" s="8">
        <v>3</v>
      </c>
      <c r="AC122" s="8">
        <v>3</v>
      </c>
      <c r="AD122" s="8">
        <v>3</v>
      </c>
      <c r="AE122" s="1" t="s">
        <v>12</v>
      </c>
      <c r="AF122" s="7" t="s">
        <v>65</v>
      </c>
      <c r="AG122" s="7" t="str">
        <f>IF(MIN(Data_Table[[#This Row],[Priority Level]:[Effective escalation ]])&lt;=1,"Fail",IF(MIN(Data_Table[[#This Row],[Priority Level]:[Effective escalation ]])=2,"Neutral","Pass"))</f>
        <v>Pass</v>
      </c>
      <c r="AH122" s="2" t="str">
        <f>IF(MIN(Data_Table[[#This Row],[Priority Level]:[Effective escalation ]])&lt;=1,"Fail",IF(MIN(Data_Table[[#This Row],[Priority Level]:[Effective escalation ]])=2,"Pass","Pass"))</f>
        <v>Pass</v>
      </c>
      <c r="AI122" s="2" t="str">
        <f>IF(Data_Table[[#This Row],[Business Critical PF]]="Fail",1,"")</f>
        <v/>
      </c>
      <c r="AJ122" s="6"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122" s="6" t="str">
        <f>IF(MIN(Data_Table[[#This Row],[Grammar &amp; Syntax ]:[Quality of First Response]],Data_Table[[#This Row],[Priority Level]:[Effective escalation ]])&lt;=1,"Fail",IF(MIN(Data_Table[[#This Row],[Grammar &amp; Syntax ]:[Quality of First Response]],Data_Table[[#This Row],[Priority Level]:[Effective escalation ]])=2,"Pass","Pass"))</f>
        <v>Pass</v>
      </c>
      <c r="AL122" s="6" t="str">
        <f>IF(Data_Table[[#This Row],[Attribute Fail Rate PF]]="Fail",1,"")</f>
        <v/>
      </c>
      <c r="AM122" s="6">
        <f>1</f>
        <v>1</v>
      </c>
      <c r="AN122" s="6" t="str">
        <f>IF(Data_Table[[#This Row],[Attribute Fail Rate PF]]="Fail",Data_Table[[#This Row],[Ticket ID]],"")</f>
        <v/>
      </c>
      <c r="AO122" s="6" t="str" cm="1">
        <f t="array" ref="AO122">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c r="AP122" s="12"/>
    </row>
    <row r="123" spans="1:42" ht="15" customHeight="1" x14ac:dyDescent="0.25">
      <c r="A123" s="11">
        <v>44875</v>
      </c>
      <c r="B123" s="2" t="s">
        <v>6</v>
      </c>
      <c r="C123" s="2">
        <f t="shared" si="3"/>
        <v>46</v>
      </c>
      <c r="D123" s="2">
        <f>MATCH(Data_Table[[#This Row],[Week]],_xlfn._xlws.SORT(_xlfn.UNIQUE(Data_Table[Week]),1,-1),0)</f>
        <v>2</v>
      </c>
      <c r="E123" s="2" t="str">
        <f>TEXT(Data_Table[[#This Row],[Date of the Ticket for Review]],"mmm")</f>
        <v>Nov</v>
      </c>
      <c r="F123" s="9">
        <v>888519</v>
      </c>
      <c r="G123" s="9" t="str">
        <f>VLOOKUP(F123,Agent_Table[],2,FALSE)</f>
        <v>Samantha Rodriguez</v>
      </c>
      <c r="H123" s="9" t="str">
        <f>IFERROR(VLOOKUP(Data_Table[[#This Row],[Ticket ID]],Product_Table[],2,FALSE),"")</f>
        <v/>
      </c>
      <c r="I123" s="4" t="s">
        <v>2</v>
      </c>
      <c r="J123" s="9">
        <v>3</v>
      </c>
      <c r="K123" s="9">
        <v>3</v>
      </c>
      <c r="L123" s="9">
        <v>3</v>
      </c>
      <c r="M123" s="9">
        <v>3</v>
      </c>
      <c r="N123" s="9">
        <v>3</v>
      </c>
      <c r="O123" s="9">
        <v>3</v>
      </c>
      <c r="P123" s="9">
        <v>3</v>
      </c>
      <c r="Q123" s="9">
        <v>3</v>
      </c>
      <c r="R123" s="6" t="s">
        <v>53</v>
      </c>
      <c r="S123" s="6" t="str">
        <f>IF(MIN(Data_Table[[#This Row],[Grammar &amp; Syntax ]:[Quality of First Response]])&lt;=1,"Fail",IF(MIN(Data_Table[[#This Row],[Grammar &amp; Syntax ]:[Quality of First Response]])=2,"Neutral","Pass"))</f>
        <v>Pass</v>
      </c>
      <c r="T123" s="6" t="str">
        <f>IF(MIN(Data_Table[[#This Row],[Grammar &amp; Syntax ]:[Quality of First Response]])&lt;=1,"Fail",IF(MIN(Data_Table[[#This Row],[Grammar &amp; Syntax ]:[Quality of First Response]])=2,"Pass","Pass"))</f>
        <v>Pass</v>
      </c>
      <c r="U123" s="6">
        <f>IF(Data_Table[[#This Row],[Compliance Critical PF]]="Fail",1,0)</f>
        <v>0</v>
      </c>
      <c r="V123" s="6"/>
      <c r="W123" s="8">
        <v>3</v>
      </c>
      <c r="X123" s="8">
        <v>3</v>
      </c>
      <c r="Y123" s="8">
        <v>3</v>
      </c>
      <c r="Z123" s="8">
        <v>3</v>
      </c>
      <c r="AA123" s="1" t="s">
        <v>12</v>
      </c>
      <c r="AB123" s="8">
        <v>3</v>
      </c>
      <c r="AC123" s="8">
        <v>3</v>
      </c>
      <c r="AD123" s="8">
        <v>3</v>
      </c>
      <c r="AE123" s="1" t="s">
        <v>12</v>
      </c>
      <c r="AF123" s="7" t="s">
        <v>32</v>
      </c>
      <c r="AG123" s="7" t="str">
        <f>IF(MIN(Data_Table[[#This Row],[Priority Level]:[Effective escalation ]])&lt;=1,"Fail",IF(MIN(Data_Table[[#This Row],[Priority Level]:[Effective escalation ]])=2,"Neutral","Pass"))</f>
        <v>Pass</v>
      </c>
      <c r="AH123" s="2" t="str">
        <f>IF(MIN(Data_Table[[#This Row],[Priority Level]:[Effective escalation ]])&lt;=1,"Fail",IF(MIN(Data_Table[[#This Row],[Priority Level]:[Effective escalation ]])=2,"Pass","Pass"))</f>
        <v>Pass</v>
      </c>
      <c r="AI123" s="2" t="str">
        <f>IF(Data_Table[[#This Row],[Business Critical PF]]="Fail",1,"")</f>
        <v/>
      </c>
      <c r="AJ123" s="6"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123" s="6" t="str">
        <f>IF(MIN(Data_Table[[#This Row],[Grammar &amp; Syntax ]:[Quality of First Response]],Data_Table[[#This Row],[Priority Level]:[Effective escalation ]])&lt;=1,"Fail",IF(MIN(Data_Table[[#This Row],[Grammar &amp; Syntax ]:[Quality of First Response]],Data_Table[[#This Row],[Priority Level]:[Effective escalation ]])=2,"Pass","Pass"))</f>
        <v>Pass</v>
      </c>
      <c r="AL123" s="6" t="str">
        <f>IF(Data_Table[[#This Row],[Attribute Fail Rate PF]]="Fail",1,"")</f>
        <v/>
      </c>
      <c r="AM123" s="6">
        <f>1</f>
        <v>1</v>
      </c>
      <c r="AN123" s="6" t="str">
        <f>IF(Data_Table[[#This Row],[Attribute Fail Rate PF]]="Fail",Data_Table[[#This Row],[Ticket ID]],"")</f>
        <v/>
      </c>
      <c r="AO123" s="6" t="str" cm="1">
        <f t="array" ref="AO123">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c r="AP123" s="12"/>
    </row>
    <row r="124" spans="1:42" ht="15" customHeight="1" x14ac:dyDescent="0.25">
      <c r="A124" s="11">
        <v>44875</v>
      </c>
      <c r="B124" s="2" t="s">
        <v>6</v>
      </c>
      <c r="C124" s="2">
        <f t="shared" si="3"/>
        <v>46</v>
      </c>
      <c r="D124" s="2">
        <f>MATCH(Data_Table[[#This Row],[Week]],_xlfn._xlws.SORT(_xlfn.UNIQUE(Data_Table[Week]),1,-1),0)</f>
        <v>2</v>
      </c>
      <c r="E124" s="2" t="str">
        <f>TEXT(Data_Table[[#This Row],[Date of the Ticket for Review]],"mmm")</f>
        <v>Nov</v>
      </c>
      <c r="F124" s="9">
        <v>889541</v>
      </c>
      <c r="G124" s="9" t="str">
        <f>VLOOKUP(F124,Agent_Table[],2,FALSE)</f>
        <v>Samantha Rodriguez</v>
      </c>
      <c r="H124" s="9" t="str">
        <f>IFERROR(VLOOKUP(Data_Table[[#This Row],[Ticket ID]],Product_Table[],2,FALSE),"")</f>
        <v>Platforms &amp; API</v>
      </c>
      <c r="I124" s="4" t="s">
        <v>2</v>
      </c>
      <c r="J124" s="9">
        <v>3</v>
      </c>
      <c r="K124" s="9">
        <v>3</v>
      </c>
      <c r="L124" s="9">
        <v>3</v>
      </c>
      <c r="M124" s="9">
        <v>3</v>
      </c>
      <c r="N124" s="9">
        <v>3</v>
      </c>
      <c r="O124" s="9">
        <v>3</v>
      </c>
      <c r="P124" s="9">
        <v>3</v>
      </c>
      <c r="Q124" s="9">
        <v>3</v>
      </c>
      <c r="R124" s="6" t="s">
        <v>3</v>
      </c>
      <c r="S124" s="6" t="str">
        <f>IF(MIN(Data_Table[[#This Row],[Grammar &amp; Syntax ]:[Quality of First Response]])&lt;=1,"Fail",IF(MIN(Data_Table[[#This Row],[Grammar &amp; Syntax ]:[Quality of First Response]])=2,"Neutral","Pass"))</f>
        <v>Pass</v>
      </c>
      <c r="T124" s="6" t="str">
        <f>IF(MIN(Data_Table[[#This Row],[Grammar &amp; Syntax ]:[Quality of First Response]])&lt;=1,"Fail",IF(MIN(Data_Table[[#This Row],[Grammar &amp; Syntax ]:[Quality of First Response]])=2,"Pass","Pass"))</f>
        <v>Pass</v>
      </c>
      <c r="U124" s="6">
        <f>IF(Data_Table[[#This Row],[Compliance Critical PF]]="Fail",1,0)</f>
        <v>0</v>
      </c>
      <c r="V124" s="6"/>
      <c r="W124" s="8">
        <v>3</v>
      </c>
      <c r="X124" s="8">
        <v>3</v>
      </c>
      <c r="Y124" s="8">
        <v>3</v>
      </c>
      <c r="Z124" s="8">
        <v>3</v>
      </c>
      <c r="AA124" s="1" t="s">
        <v>12</v>
      </c>
      <c r="AB124" s="8">
        <v>3</v>
      </c>
      <c r="AC124" s="8">
        <v>3</v>
      </c>
      <c r="AD124" s="8">
        <v>3</v>
      </c>
      <c r="AE124" s="1" t="s">
        <v>12</v>
      </c>
      <c r="AF124" s="7" t="s">
        <v>66</v>
      </c>
      <c r="AG124" s="7" t="str">
        <f>IF(MIN(Data_Table[[#This Row],[Priority Level]:[Effective escalation ]])&lt;=1,"Fail",IF(MIN(Data_Table[[#This Row],[Priority Level]:[Effective escalation ]])=2,"Neutral","Pass"))</f>
        <v>Pass</v>
      </c>
      <c r="AH124" s="2" t="str">
        <f>IF(MIN(Data_Table[[#This Row],[Priority Level]:[Effective escalation ]])&lt;=1,"Fail",IF(MIN(Data_Table[[#This Row],[Priority Level]:[Effective escalation ]])=2,"Pass","Pass"))</f>
        <v>Pass</v>
      </c>
      <c r="AI124" s="2" t="str">
        <f>IF(Data_Table[[#This Row],[Business Critical PF]]="Fail",1,"")</f>
        <v/>
      </c>
      <c r="AJ124" s="6"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124" s="6" t="str">
        <f>IF(MIN(Data_Table[[#This Row],[Grammar &amp; Syntax ]:[Quality of First Response]],Data_Table[[#This Row],[Priority Level]:[Effective escalation ]])&lt;=1,"Fail",IF(MIN(Data_Table[[#This Row],[Grammar &amp; Syntax ]:[Quality of First Response]],Data_Table[[#This Row],[Priority Level]:[Effective escalation ]])=2,"Pass","Pass"))</f>
        <v>Pass</v>
      </c>
      <c r="AL124" s="6" t="str">
        <f>IF(Data_Table[[#This Row],[Attribute Fail Rate PF]]="Fail",1,"")</f>
        <v/>
      </c>
      <c r="AM124" s="6">
        <f>1</f>
        <v>1</v>
      </c>
      <c r="AN124" s="6" t="str">
        <f>IF(Data_Table[[#This Row],[Attribute Fail Rate PF]]="Fail",Data_Table[[#This Row],[Ticket ID]],"")</f>
        <v/>
      </c>
      <c r="AO124" s="6" t="str" cm="1">
        <f t="array" ref="AO124">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c r="AP124" s="12"/>
    </row>
    <row r="125" spans="1:42" ht="15" customHeight="1" x14ac:dyDescent="0.25">
      <c r="A125" s="11">
        <v>44874</v>
      </c>
      <c r="B125" s="2" t="s">
        <v>6</v>
      </c>
      <c r="C125" s="2">
        <f t="shared" si="3"/>
        <v>46</v>
      </c>
      <c r="D125" s="2">
        <f>MATCH(Data_Table[[#This Row],[Week]],_xlfn._xlws.SORT(_xlfn.UNIQUE(Data_Table[Week]),1,-1),0)</f>
        <v>2</v>
      </c>
      <c r="E125" s="2" t="str">
        <f>TEXT(Data_Table[[#This Row],[Date of the Ticket for Review]],"mmm")</f>
        <v>Nov</v>
      </c>
      <c r="F125" s="9">
        <v>887807</v>
      </c>
      <c r="G125" s="9" t="str">
        <f>VLOOKUP(F125,Agent_Table[],2,FALSE)</f>
        <v>Carolina Gonzalez</v>
      </c>
      <c r="H125" s="9" t="str">
        <f>IFERROR(VLOOKUP(Data_Table[[#This Row],[Ticket ID]],Product_Table[],2,FALSE),"")</f>
        <v>Performance &amp; Delivery</v>
      </c>
      <c r="I125" s="4" t="s">
        <v>2</v>
      </c>
      <c r="J125" s="9">
        <v>3</v>
      </c>
      <c r="K125" s="9">
        <v>3</v>
      </c>
      <c r="L125" s="9">
        <v>3</v>
      </c>
      <c r="M125" s="9">
        <v>3</v>
      </c>
      <c r="N125" s="9">
        <v>3</v>
      </c>
      <c r="O125" s="9">
        <v>1</v>
      </c>
      <c r="P125" s="9">
        <v>3</v>
      </c>
      <c r="Q125" s="9">
        <v>3</v>
      </c>
      <c r="R125" s="6" t="s">
        <v>54</v>
      </c>
      <c r="S125" s="6" t="str">
        <f>IF(MIN(Data_Table[[#This Row],[Grammar &amp; Syntax ]:[Quality of First Response]])&lt;=1,"Fail",IF(MIN(Data_Table[[#This Row],[Grammar &amp; Syntax ]:[Quality of First Response]])=2,"Neutral","Pass"))</f>
        <v>Fail</v>
      </c>
      <c r="T125" s="6" t="str">
        <f>IF(MIN(Data_Table[[#This Row],[Grammar &amp; Syntax ]:[Quality of First Response]])&lt;=1,"Fail",IF(MIN(Data_Table[[#This Row],[Grammar &amp; Syntax ]:[Quality of First Response]])=2,"Pass","Pass"))</f>
        <v>Fail</v>
      </c>
      <c r="U125" s="6">
        <f>IF(Data_Table[[#This Row],[Compliance Critical PF]]="Fail",1,0)</f>
        <v>1</v>
      </c>
      <c r="V125" s="6"/>
      <c r="W125" s="8">
        <v>3</v>
      </c>
      <c r="X125" s="8">
        <v>3</v>
      </c>
      <c r="Y125" s="8">
        <v>3</v>
      </c>
      <c r="Z125" s="8">
        <v>3</v>
      </c>
      <c r="AA125" s="1" t="s">
        <v>12</v>
      </c>
      <c r="AB125" s="8">
        <v>3</v>
      </c>
      <c r="AC125" s="8">
        <v>3</v>
      </c>
      <c r="AD125" s="8">
        <v>2</v>
      </c>
      <c r="AE125" s="1" t="s">
        <v>12</v>
      </c>
      <c r="AF125" s="7" t="s">
        <v>67</v>
      </c>
      <c r="AG125" s="7" t="str">
        <f>IF(MIN(Data_Table[[#This Row],[Priority Level]:[Effective escalation ]])&lt;=1,"Fail",IF(MIN(Data_Table[[#This Row],[Priority Level]:[Effective escalation ]])=2,"Neutral","Pass"))</f>
        <v>Neutral</v>
      </c>
      <c r="AH125" s="2" t="str">
        <f>IF(MIN(Data_Table[[#This Row],[Priority Level]:[Effective escalation ]])&lt;=1,"Fail",IF(MIN(Data_Table[[#This Row],[Priority Level]:[Effective escalation ]])=2,"Pass","Pass"))</f>
        <v>Pass</v>
      </c>
      <c r="AI125" s="2" t="str">
        <f>IF(Data_Table[[#This Row],[Business Critical PF]]="Fail",1,"")</f>
        <v/>
      </c>
      <c r="AJ125" s="6" t="str">
        <f>IF(MIN(Data_Table[[#This Row],[Grammar &amp; Syntax ]:[Quality of First Response]],Data_Table[[#This Row],[Priority Level]:[Effective escalation ]])&lt;=1,"Fail",IF(MIN(Data_Table[[#This Row],[Grammar &amp; Syntax ]:[Quality of First Response]],Data_Table[[#This Row],[Priority Level]:[Effective escalation ]])=2,"Neutral","Pass"))</f>
        <v>Fail</v>
      </c>
      <c r="AK125" s="6" t="str">
        <f>IF(MIN(Data_Table[[#This Row],[Grammar &amp; Syntax ]:[Quality of First Response]],Data_Table[[#This Row],[Priority Level]:[Effective escalation ]])&lt;=1,"Fail",IF(MIN(Data_Table[[#This Row],[Grammar &amp; Syntax ]:[Quality of First Response]],Data_Table[[#This Row],[Priority Level]:[Effective escalation ]])=2,"Pass","Pass"))</f>
        <v>Fail</v>
      </c>
      <c r="AL125" s="6">
        <f>IF(Data_Table[[#This Row],[Attribute Fail Rate PF]]="Fail",1,"")</f>
        <v>1</v>
      </c>
      <c r="AM125" s="6">
        <f>1</f>
        <v>1</v>
      </c>
      <c r="AN125" s="6">
        <f>IF(Data_Table[[#This Row],[Attribute Fail Rate PF]]="Fail",Data_Table[[#This Row],[Ticket ID]],"")</f>
        <v>887807</v>
      </c>
      <c r="AO125" s="6" t="str" cm="1">
        <f t="array" ref="AO125">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Accountability &amp; Ownership</v>
      </c>
      <c r="AP125" s="12"/>
    </row>
    <row r="126" spans="1:42" ht="15" customHeight="1" x14ac:dyDescent="0.25">
      <c r="A126" s="11">
        <v>44873</v>
      </c>
      <c r="B126" s="2" t="s">
        <v>6</v>
      </c>
      <c r="C126" s="2">
        <f t="shared" si="3"/>
        <v>46</v>
      </c>
      <c r="D126" s="2">
        <f>MATCH(Data_Table[[#This Row],[Week]],_xlfn._xlws.SORT(_xlfn.UNIQUE(Data_Table[Week]),1,-1),0)</f>
        <v>2</v>
      </c>
      <c r="E126" s="2" t="str">
        <f>TEXT(Data_Table[[#This Row],[Date of the Ticket for Review]],"mmm")</f>
        <v>Nov</v>
      </c>
      <c r="F126" s="9">
        <v>886117</v>
      </c>
      <c r="G126" s="9" t="str">
        <f>VLOOKUP(F126,Agent_Table[],2,FALSE)</f>
        <v>Carolina Gonzalez</v>
      </c>
      <c r="H126" s="9" t="str">
        <f>IFERROR(VLOOKUP(Data_Table[[#This Row],[Ticket ID]],Product_Table[],2,FALSE),"")</f>
        <v>Performance &amp; Delivery</v>
      </c>
      <c r="I126" s="4" t="s">
        <v>2</v>
      </c>
      <c r="J126" s="9">
        <v>3</v>
      </c>
      <c r="K126" s="9">
        <v>3</v>
      </c>
      <c r="L126" s="9">
        <v>3</v>
      </c>
      <c r="M126" s="9">
        <v>3</v>
      </c>
      <c r="N126" s="9">
        <v>3</v>
      </c>
      <c r="O126" s="9">
        <v>3</v>
      </c>
      <c r="P126" s="9">
        <v>3</v>
      </c>
      <c r="Q126" s="9">
        <v>3</v>
      </c>
      <c r="R126" s="6" t="s">
        <v>3</v>
      </c>
      <c r="S126" s="6" t="str">
        <f>IF(MIN(Data_Table[[#This Row],[Grammar &amp; Syntax ]:[Quality of First Response]])&lt;=1,"Fail",IF(MIN(Data_Table[[#This Row],[Grammar &amp; Syntax ]:[Quality of First Response]])=2,"Neutral","Pass"))</f>
        <v>Pass</v>
      </c>
      <c r="T126" s="6" t="str">
        <f>IF(MIN(Data_Table[[#This Row],[Grammar &amp; Syntax ]:[Quality of First Response]])&lt;=1,"Fail",IF(MIN(Data_Table[[#This Row],[Grammar &amp; Syntax ]:[Quality of First Response]])=2,"Pass","Pass"))</f>
        <v>Pass</v>
      </c>
      <c r="U126" s="6">
        <f>IF(Data_Table[[#This Row],[Compliance Critical PF]]="Fail",1,0)</f>
        <v>0</v>
      </c>
      <c r="V126" s="6"/>
      <c r="W126" s="8">
        <v>3</v>
      </c>
      <c r="X126" s="8">
        <v>2</v>
      </c>
      <c r="Y126" s="8">
        <v>2</v>
      </c>
      <c r="Z126" s="8">
        <v>3</v>
      </c>
      <c r="AA126" s="1" t="s">
        <v>12</v>
      </c>
      <c r="AB126" s="8">
        <v>2</v>
      </c>
      <c r="AC126" s="8">
        <v>3</v>
      </c>
      <c r="AD126" s="8">
        <v>3</v>
      </c>
      <c r="AE126" s="1" t="s">
        <v>12</v>
      </c>
      <c r="AF126" s="7" t="s">
        <v>68</v>
      </c>
      <c r="AG126" s="7" t="str">
        <f>IF(MIN(Data_Table[[#This Row],[Priority Level]:[Effective escalation ]])&lt;=1,"Fail",IF(MIN(Data_Table[[#This Row],[Priority Level]:[Effective escalation ]])=2,"Neutral","Pass"))</f>
        <v>Neutral</v>
      </c>
      <c r="AH126" s="2" t="str">
        <f>IF(MIN(Data_Table[[#This Row],[Priority Level]:[Effective escalation ]])&lt;=1,"Fail",IF(MIN(Data_Table[[#This Row],[Priority Level]:[Effective escalation ]])=2,"Pass","Pass"))</f>
        <v>Pass</v>
      </c>
      <c r="AI126" s="2" t="str">
        <f>IF(Data_Table[[#This Row],[Business Critical PF]]="Fail",1,"")</f>
        <v/>
      </c>
      <c r="AJ126" s="6" t="str">
        <f>IF(MIN(Data_Table[[#This Row],[Grammar &amp; Syntax ]:[Quality of First Response]],Data_Table[[#This Row],[Priority Level]:[Effective escalation ]])&lt;=1,"Fail",IF(MIN(Data_Table[[#This Row],[Grammar &amp; Syntax ]:[Quality of First Response]],Data_Table[[#This Row],[Priority Level]:[Effective escalation ]])=2,"Neutral","Pass"))</f>
        <v>Neutral</v>
      </c>
      <c r="AK126" s="6" t="str">
        <f>IF(MIN(Data_Table[[#This Row],[Grammar &amp; Syntax ]:[Quality of First Response]],Data_Table[[#This Row],[Priority Level]:[Effective escalation ]])&lt;=1,"Fail",IF(MIN(Data_Table[[#This Row],[Grammar &amp; Syntax ]:[Quality of First Response]],Data_Table[[#This Row],[Priority Level]:[Effective escalation ]])=2,"Pass","Pass"))</f>
        <v>Pass</v>
      </c>
      <c r="AL126" s="6" t="str">
        <f>IF(Data_Table[[#This Row],[Attribute Fail Rate PF]]="Fail",1,"")</f>
        <v/>
      </c>
      <c r="AM126" s="6">
        <f>1</f>
        <v>1</v>
      </c>
      <c r="AN126" s="6" t="str">
        <f>IF(Data_Table[[#This Row],[Attribute Fail Rate PF]]="Fail",Data_Table[[#This Row],[Ticket ID]],"")</f>
        <v/>
      </c>
      <c r="AO126" s="6" t="str" cm="1">
        <f t="array" ref="AO126">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c r="AP126" s="12"/>
    </row>
    <row r="127" spans="1:42" ht="15" customHeight="1" x14ac:dyDescent="0.25">
      <c r="A127" s="11">
        <v>44873</v>
      </c>
      <c r="B127" s="2" t="s">
        <v>6</v>
      </c>
      <c r="C127" s="2">
        <f t="shared" si="3"/>
        <v>46</v>
      </c>
      <c r="D127" s="2">
        <f>MATCH(Data_Table[[#This Row],[Week]],_xlfn._xlws.SORT(_xlfn.UNIQUE(Data_Table[Week]),1,-1),0)</f>
        <v>2</v>
      </c>
      <c r="E127" s="2" t="str">
        <f>TEXT(Data_Table[[#This Row],[Date of the Ticket for Review]],"mmm")</f>
        <v>Nov</v>
      </c>
      <c r="F127" s="9">
        <v>884645</v>
      </c>
      <c r="G127" s="9" t="str">
        <f>VLOOKUP(F127,Agent_Table[],2,FALSE)</f>
        <v>Eduardo Villa</v>
      </c>
      <c r="H127" s="9" t="str">
        <f>IFERROR(VLOOKUP(Data_Table[[#This Row],[Ticket ID]],Product_Table[],2,FALSE),"")</f>
        <v>Measurement</v>
      </c>
      <c r="I127" s="4" t="s">
        <v>2</v>
      </c>
      <c r="J127" s="9">
        <v>3</v>
      </c>
      <c r="K127" s="9">
        <v>3</v>
      </c>
      <c r="L127" s="9">
        <v>3</v>
      </c>
      <c r="M127" s="9">
        <v>3</v>
      </c>
      <c r="N127" s="9">
        <v>3</v>
      </c>
      <c r="O127" s="9">
        <v>3</v>
      </c>
      <c r="P127" s="9">
        <v>3</v>
      </c>
      <c r="Q127" s="9">
        <v>3</v>
      </c>
      <c r="R127" s="6" t="s">
        <v>3</v>
      </c>
      <c r="S127" s="6" t="str">
        <f>IF(MIN(Data_Table[[#This Row],[Grammar &amp; Syntax ]:[Quality of First Response]])&lt;=1,"Fail",IF(MIN(Data_Table[[#This Row],[Grammar &amp; Syntax ]:[Quality of First Response]])=2,"Neutral","Pass"))</f>
        <v>Pass</v>
      </c>
      <c r="T127" s="6" t="str">
        <f>IF(MIN(Data_Table[[#This Row],[Grammar &amp; Syntax ]:[Quality of First Response]])&lt;=1,"Fail",IF(MIN(Data_Table[[#This Row],[Grammar &amp; Syntax ]:[Quality of First Response]])=2,"Pass","Pass"))</f>
        <v>Pass</v>
      </c>
      <c r="U127" s="6">
        <f>IF(Data_Table[[#This Row],[Compliance Critical PF]]="Fail",1,0)</f>
        <v>0</v>
      </c>
      <c r="V127" s="6"/>
      <c r="W127" s="8">
        <v>3</v>
      </c>
      <c r="X127" s="8">
        <v>3</v>
      </c>
      <c r="Y127" s="8">
        <v>3</v>
      </c>
      <c r="Z127" s="8">
        <v>3</v>
      </c>
      <c r="AA127" s="1" t="s">
        <v>12</v>
      </c>
      <c r="AB127" s="8">
        <v>3</v>
      </c>
      <c r="AC127" s="8">
        <v>3</v>
      </c>
      <c r="AD127" s="8">
        <v>3</v>
      </c>
      <c r="AE127" s="1" t="s">
        <v>12</v>
      </c>
      <c r="AF127" s="7" t="s">
        <v>69</v>
      </c>
      <c r="AG127" s="7" t="str">
        <f>IF(MIN(Data_Table[[#This Row],[Priority Level]:[Effective escalation ]])&lt;=1,"Fail",IF(MIN(Data_Table[[#This Row],[Priority Level]:[Effective escalation ]])=2,"Neutral","Pass"))</f>
        <v>Pass</v>
      </c>
      <c r="AH127" s="2" t="str">
        <f>IF(MIN(Data_Table[[#This Row],[Priority Level]:[Effective escalation ]])&lt;=1,"Fail",IF(MIN(Data_Table[[#This Row],[Priority Level]:[Effective escalation ]])=2,"Pass","Pass"))</f>
        <v>Pass</v>
      </c>
      <c r="AI127" s="2" t="str">
        <f>IF(Data_Table[[#This Row],[Business Critical PF]]="Fail",1,"")</f>
        <v/>
      </c>
      <c r="AJ127" s="6"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127" s="6" t="str">
        <f>IF(MIN(Data_Table[[#This Row],[Grammar &amp; Syntax ]:[Quality of First Response]],Data_Table[[#This Row],[Priority Level]:[Effective escalation ]])&lt;=1,"Fail",IF(MIN(Data_Table[[#This Row],[Grammar &amp; Syntax ]:[Quality of First Response]],Data_Table[[#This Row],[Priority Level]:[Effective escalation ]])=2,"Pass","Pass"))</f>
        <v>Pass</v>
      </c>
      <c r="AL127" s="6" t="str">
        <f>IF(Data_Table[[#This Row],[Attribute Fail Rate PF]]="Fail",1,"")</f>
        <v/>
      </c>
      <c r="AM127" s="6">
        <f>1</f>
        <v>1</v>
      </c>
      <c r="AN127" s="6" t="str">
        <f>IF(Data_Table[[#This Row],[Attribute Fail Rate PF]]="Fail",Data_Table[[#This Row],[Ticket ID]],"")</f>
        <v/>
      </c>
      <c r="AO127" s="6" t="str" cm="1">
        <f t="array" ref="AO127">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c r="AP127" s="12"/>
    </row>
    <row r="128" spans="1:42" ht="15" customHeight="1" x14ac:dyDescent="0.25">
      <c r="A128" s="11">
        <v>44873</v>
      </c>
      <c r="B128" s="2" t="s">
        <v>6</v>
      </c>
      <c r="C128" s="2">
        <f t="shared" si="3"/>
        <v>46</v>
      </c>
      <c r="D128" s="2">
        <f>MATCH(Data_Table[[#This Row],[Week]],_xlfn._xlws.SORT(_xlfn.UNIQUE(Data_Table[Week]),1,-1),0)</f>
        <v>2</v>
      </c>
      <c r="E128" s="2" t="str">
        <f>TEXT(Data_Table[[#This Row],[Date of the Ticket for Review]],"mmm")</f>
        <v>Nov</v>
      </c>
      <c r="F128" s="9">
        <v>885662</v>
      </c>
      <c r="G128" s="9" t="str">
        <f>VLOOKUP(F128,Agent_Table[],2,FALSE)</f>
        <v>Eduardo Villa</v>
      </c>
      <c r="H128" s="9" t="str">
        <f>IFERROR(VLOOKUP(Data_Table[[#This Row],[Ticket ID]],Product_Table[],2,FALSE),"")</f>
        <v>Platforms &amp; API</v>
      </c>
      <c r="I128" s="4" t="s">
        <v>2</v>
      </c>
      <c r="J128" s="9">
        <v>3</v>
      </c>
      <c r="K128" s="9">
        <v>3</v>
      </c>
      <c r="L128" s="9">
        <v>3</v>
      </c>
      <c r="M128" s="9">
        <v>3</v>
      </c>
      <c r="N128" s="9">
        <v>3</v>
      </c>
      <c r="O128" s="9">
        <v>3</v>
      </c>
      <c r="P128" s="9">
        <v>3</v>
      </c>
      <c r="Q128" s="9">
        <v>3</v>
      </c>
      <c r="R128" s="6" t="s">
        <v>3</v>
      </c>
      <c r="S128" s="6" t="str">
        <f>IF(MIN(Data_Table[[#This Row],[Grammar &amp; Syntax ]:[Quality of First Response]])&lt;=1,"Fail",IF(MIN(Data_Table[[#This Row],[Grammar &amp; Syntax ]:[Quality of First Response]])=2,"Neutral","Pass"))</f>
        <v>Pass</v>
      </c>
      <c r="T128" s="6" t="str">
        <f>IF(MIN(Data_Table[[#This Row],[Grammar &amp; Syntax ]:[Quality of First Response]])&lt;=1,"Fail",IF(MIN(Data_Table[[#This Row],[Grammar &amp; Syntax ]:[Quality of First Response]])=2,"Pass","Pass"))</f>
        <v>Pass</v>
      </c>
      <c r="U128" s="6">
        <f>IF(Data_Table[[#This Row],[Compliance Critical PF]]="Fail",1,0)</f>
        <v>0</v>
      </c>
      <c r="V128" s="6"/>
      <c r="W128" s="8">
        <v>3</v>
      </c>
      <c r="X128" s="8">
        <v>3</v>
      </c>
      <c r="Y128" s="8">
        <v>3</v>
      </c>
      <c r="Z128" s="8">
        <v>3</v>
      </c>
      <c r="AA128" s="1" t="s">
        <v>12</v>
      </c>
      <c r="AB128" s="8">
        <v>3</v>
      </c>
      <c r="AC128" s="8">
        <v>3</v>
      </c>
      <c r="AD128" s="8">
        <v>3</v>
      </c>
      <c r="AE128" s="1" t="s">
        <v>12</v>
      </c>
      <c r="AF128" s="7" t="s">
        <v>32</v>
      </c>
      <c r="AG128" s="7" t="str">
        <f>IF(MIN(Data_Table[[#This Row],[Priority Level]:[Effective escalation ]])&lt;=1,"Fail",IF(MIN(Data_Table[[#This Row],[Priority Level]:[Effective escalation ]])=2,"Neutral","Pass"))</f>
        <v>Pass</v>
      </c>
      <c r="AH128" s="2" t="str">
        <f>IF(MIN(Data_Table[[#This Row],[Priority Level]:[Effective escalation ]])&lt;=1,"Fail",IF(MIN(Data_Table[[#This Row],[Priority Level]:[Effective escalation ]])=2,"Pass","Pass"))</f>
        <v>Pass</v>
      </c>
      <c r="AI128" s="2" t="str">
        <f>IF(Data_Table[[#This Row],[Business Critical PF]]="Fail",1,"")</f>
        <v/>
      </c>
      <c r="AJ128" s="6"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128" s="6" t="str">
        <f>IF(MIN(Data_Table[[#This Row],[Grammar &amp; Syntax ]:[Quality of First Response]],Data_Table[[#This Row],[Priority Level]:[Effective escalation ]])&lt;=1,"Fail",IF(MIN(Data_Table[[#This Row],[Grammar &amp; Syntax ]:[Quality of First Response]],Data_Table[[#This Row],[Priority Level]:[Effective escalation ]])=2,"Pass","Pass"))</f>
        <v>Pass</v>
      </c>
      <c r="AL128" s="6" t="str">
        <f>IF(Data_Table[[#This Row],[Attribute Fail Rate PF]]="Fail",1,"")</f>
        <v/>
      </c>
      <c r="AM128" s="6">
        <f>1</f>
        <v>1</v>
      </c>
      <c r="AN128" s="6" t="str">
        <f>IF(Data_Table[[#This Row],[Attribute Fail Rate PF]]="Fail",Data_Table[[#This Row],[Ticket ID]],"")</f>
        <v/>
      </c>
      <c r="AO128" s="6" t="str" cm="1">
        <f t="array" ref="AO128">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c r="AP128" s="12"/>
    </row>
    <row r="129" spans="1:42" ht="15" customHeight="1" x14ac:dyDescent="0.25">
      <c r="A129" s="11">
        <v>44875</v>
      </c>
      <c r="B129" s="2" t="s">
        <v>6</v>
      </c>
      <c r="C129" s="2">
        <f t="shared" si="3"/>
        <v>46</v>
      </c>
      <c r="D129" s="2">
        <f>MATCH(Data_Table[[#This Row],[Week]],_xlfn._xlws.SORT(_xlfn.UNIQUE(Data_Table[Week]),1,-1),0)</f>
        <v>2</v>
      </c>
      <c r="E129" s="2" t="str">
        <f>TEXT(Data_Table[[#This Row],[Date of the Ticket for Review]],"mmm")</f>
        <v>Nov</v>
      </c>
      <c r="F129" s="9">
        <v>888407</v>
      </c>
      <c r="G129" s="9" t="str">
        <f>VLOOKUP(F129,Agent_Table[],2,FALSE)</f>
        <v>Jessica Hernandez</v>
      </c>
      <c r="H129" s="9" t="str">
        <f>IFERROR(VLOOKUP(Data_Table[[#This Row],[Ticket ID]],Product_Table[],2,FALSE),"")</f>
        <v/>
      </c>
      <c r="I129" s="4" t="s">
        <v>2</v>
      </c>
      <c r="J129" s="9">
        <v>3</v>
      </c>
      <c r="K129" s="9">
        <v>3</v>
      </c>
      <c r="L129" s="9">
        <v>3</v>
      </c>
      <c r="M129" s="9">
        <v>3</v>
      </c>
      <c r="N129" s="9">
        <v>3</v>
      </c>
      <c r="O129" s="9">
        <v>3</v>
      </c>
      <c r="P129" s="9">
        <v>3</v>
      </c>
      <c r="Q129" s="9">
        <v>3</v>
      </c>
      <c r="R129" s="6" t="s">
        <v>3</v>
      </c>
      <c r="S129" s="6" t="str">
        <f>IF(MIN(Data_Table[[#This Row],[Grammar &amp; Syntax ]:[Quality of First Response]])&lt;=1,"Fail",IF(MIN(Data_Table[[#This Row],[Grammar &amp; Syntax ]:[Quality of First Response]])=2,"Neutral","Pass"))</f>
        <v>Pass</v>
      </c>
      <c r="T129" s="6" t="str">
        <f>IF(MIN(Data_Table[[#This Row],[Grammar &amp; Syntax ]:[Quality of First Response]])&lt;=1,"Fail",IF(MIN(Data_Table[[#This Row],[Grammar &amp; Syntax ]:[Quality of First Response]])=2,"Pass","Pass"))</f>
        <v>Pass</v>
      </c>
      <c r="U129" s="6">
        <f>IF(Data_Table[[#This Row],[Compliance Critical PF]]="Fail",1,0)</f>
        <v>0</v>
      </c>
      <c r="V129" s="6"/>
      <c r="W129" s="8">
        <v>3</v>
      </c>
      <c r="X129" s="8">
        <v>3</v>
      </c>
      <c r="Y129" s="8">
        <v>3</v>
      </c>
      <c r="Z129" s="8">
        <v>3</v>
      </c>
      <c r="AA129" s="1" t="s">
        <v>12</v>
      </c>
      <c r="AB129" s="8">
        <v>3</v>
      </c>
      <c r="AC129" s="8">
        <v>3</v>
      </c>
      <c r="AD129" s="8">
        <v>2</v>
      </c>
      <c r="AE129" s="1" t="s">
        <v>12</v>
      </c>
      <c r="AF129" s="7" t="s">
        <v>70</v>
      </c>
      <c r="AG129" s="7" t="str">
        <f>IF(MIN(Data_Table[[#This Row],[Priority Level]:[Effective escalation ]])&lt;=1,"Fail",IF(MIN(Data_Table[[#This Row],[Priority Level]:[Effective escalation ]])=2,"Neutral","Pass"))</f>
        <v>Neutral</v>
      </c>
      <c r="AH129" s="2" t="str">
        <f>IF(MIN(Data_Table[[#This Row],[Priority Level]:[Effective escalation ]])&lt;=1,"Fail",IF(MIN(Data_Table[[#This Row],[Priority Level]:[Effective escalation ]])=2,"Pass","Pass"))</f>
        <v>Pass</v>
      </c>
      <c r="AI129" s="2" t="str">
        <f>IF(Data_Table[[#This Row],[Business Critical PF]]="Fail",1,"")</f>
        <v/>
      </c>
      <c r="AJ129" s="6" t="str">
        <f>IF(MIN(Data_Table[[#This Row],[Grammar &amp; Syntax ]:[Quality of First Response]],Data_Table[[#This Row],[Priority Level]:[Effective escalation ]])&lt;=1,"Fail",IF(MIN(Data_Table[[#This Row],[Grammar &amp; Syntax ]:[Quality of First Response]],Data_Table[[#This Row],[Priority Level]:[Effective escalation ]])=2,"Neutral","Pass"))</f>
        <v>Neutral</v>
      </c>
      <c r="AK129" s="6" t="str">
        <f>IF(MIN(Data_Table[[#This Row],[Grammar &amp; Syntax ]:[Quality of First Response]],Data_Table[[#This Row],[Priority Level]:[Effective escalation ]])&lt;=1,"Fail",IF(MIN(Data_Table[[#This Row],[Grammar &amp; Syntax ]:[Quality of First Response]],Data_Table[[#This Row],[Priority Level]:[Effective escalation ]])=2,"Pass","Pass"))</f>
        <v>Pass</v>
      </c>
      <c r="AL129" s="6" t="str">
        <f>IF(Data_Table[[#This Row],[Attribute Fail Rate PF]]="Fail",1,"")</f>
        <v/>
      </c>
      <c r="AM129" s="6">
        <f>1</f>
        <v>1</v>
      </c>
      <c r="AN129" s="6" t="str">
        <f>IF(Data_Table[[#This Row],[Attribute Fail Rate PF]]="Fail",Data_Table[[#This Row],[Ticket ID]],"")</f>
        <v/>
      </c>
      <c r="AO129" s="6" t="str" cm="1">
        <f t="array" ref="AO129">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c r="AP129" s="12"/>
    </row>
    <row r="130" spans="1:42" ht="15" customHeight="1" x14ac:dyDescent="0.25">
      <c r="A130" s="11">
        <v>44876</v>
      </c>
      <c r="B130" s="2" t="s">
        <v>6</v>
      </c>
      <c r="C130" s="2">
        <f t="shared" ref="C130:C162" si="4">WEEKNUM(A130)</f>
        <v>46</v>
      </c>
      <c r="D130" s="2">
        <f>MATCH(Data_Table[[#This Row],[Week]],_xlfn._xlws.SORT(_xlfn.UNIQUE(Data_Table[Week]),1,-1),0)</f>
        <v>2</v>
      </c>
      <c r="E130" s="2" t="str">
        <f>TEXT(Data_Table[[#This Row],[Date of the Ticket for Review]],"mmm")</f>
        <v>Nov</v>
      </c>
      <c r="F130" s="9">
        <v>889872</v>
      </c>
      <c r="G130" s="9" t="str">
        <f>VLOOKUP(F130,Agent_Table[],2,FALSE)</f>
        <v>Jessica Hernandez</v>
      </c>
      <c r="H130" s="9" t="str">
        <f>IFERROR(VLOOKUP(Data_Table[[#This Row],[Ticket ID]],Product_Table[],2,FALSE),"")</f>
        <v>Platforms &amp; API</v>
      </c>
      <c r="I130" s="4" t="s">
        <v>2</v>
      </c>
      <c r="J130" s="9">
        <v>3</v>
      </c>
      <c r="K130" s="9">
        <v>3</v>
      </c>
      <c r="L130" s="9">
        <v>3</v>
      </c>
      <c r="M130" s="9">
        <v>3</v>
      </c>
      <c r="N130" s="9">
        <v>3</v>
      </c>
      <c r="O130" s="9">
        <v>3</v>
      </c>
      <c r="P130" s="9">
        <v>3</v>
      </c>
      <c r="Q130" s="9">
        <v>3</v>
      </c>
      <c r="R130" s="6" t="s">
        <v>3</v>
      </c>
      <c r="S130" s="6" t="str">
        <f>IF(MIN(Data_Table[[#This Row],[Grammar &amp; Syntax ]:[Quality of First Response]])&lt;=1,"Fail",IF(MIN(Data_Table[[#This Row],[Grammar &amp; Syntax ]:[Quality of First Response]])=2,"Neutral","Pass"))</f>
        <v>Pass</v>
      </c>
      <c r="T130" s="6" t="str">
        <f>IF(MIN(Data_Table[[#This Row],[Grammar &amp; Syntax ]:[Quality of First Response]])&lt;=1,"Fail",IF(MIN(Data_Table[[#This Row],[Grammar &amp; Syntax ]:[Quality of First Response]])=2,"Pass","Pass"))</f>
        <v>Pass</v>
      </c>
      <c r="U130" s="6">
        <f>IF(Data_Table[[#This Row],[Compliance Critical PF]]="Fail",1,0)</f>
        <v>0</v>
      </c>
      <c r="V130" s="6"/>
      <c r="W130" s="8">
        <v>3</v>
      </c>
      <c r="X130" s="8">
        <v>3</v>
      </c>
      <c r="Y130" s="8">
        <v>3</v>
      </c>
      <c r="Z130" s="8">
        <v>3</v>
      </c>
      <c r="AA130" s="1" t="s">
        <v>12</v>
      </c>
      <c r="AB130" s="8">
        <v>3</v>
      </c>
      <c r="AC130" s="8">
        <v>3</v>
      </c>
      <c r="AD130" s="8">
        <v>3</v>
      </c>
      <c r="AE130" s="1" t="s">
        <v>12</v>
      </c>
      <c r="AF130" s="7" t="s">
        <v>12</v>
      </c>
      <c r="AG130" s="7" t="str">
        <f>IF(MIN(Data_Table[[#This Row],[Priority Level]:[Effective escalation ]])&lt;=1,"Fail",IF(MIN(Data_Table[[#This Row],[Priority Level]:[Effective escalation ]])=2,"Neutral","Pass"))</f>
        <v>Pass</v>
      </c>
      <c r="AH130" s="2" t="str">
        <f>IF(MIN(Data_Table[[#This Row],[Priority Level]:[Effective escalation ]])&lt;=1,"Fail",IF(MIN(Data_Table[[#This Row],[Priority Level]:[Effective escalation ]])=2,"Pass","Pass"))</f>
        <v>Pass</v>
      </c>
      <c r="AI130" s="2" t="str">
        <f>IF(Data_Table[[#This Row],[Business Critical PF]]="Fail",1,"")</f>
        <v/>
      </c>
      <c r="AJ130" s="6"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130" s="6" t="str">
        <f>IF(MIN(Data_Table[[#This Row],[Grammar &amp; Syntax ]:[Quality of First Response]],Data_Table[[#This Row],[Priority Level]:[Effective escalation ]])&lt;=1,"Fail",IF(MIN(Data_Table[[#This Row],[Grammar &amp; Syntax ]:[Quality of First Response]],Data_Table[[#This Row],[Priority Level]:[Effective escalation ]])=2,"Pass","Pass"))</f>
        <v>Pass</v>
      </c>
      <c r="AL130" s="6" t="str">
        <f>IF(Data_Table[[#This Row],[Attribute Fail Rate PF]]="Fail",1,"")</f>
        <v/>
      </c>
      <c r="AM130" s="6">
        <f>1</f>
        <v>1</v>
      </c>
      <c r="AN130" s="6" t="str">
        <f>IF(Data_Table[[#This Row],[Attribute Fail Rate PF]]="Fail",Data_Table[[#This Row],[Ticket ID]],"")</f>
        <v/>
      </c>
      <c r="AO130" s="6" t="str" cm="1">
        <f t="array" ref="AO130">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c r="AP130" s="12"/>
    </row>
    <row r="131" spans="1:42" ht="15" customHeight="1" x14ac:dyDescent="0.25">
      <c r="A131" s="11">
        <v>44873</v>
      </c>
      <c r="B131" s="2" t="s">
        <v>6</v>
      </c>
      <c r="C131" s="2">
        <f t="shared" si="4"/>
        <v>46</v>
      </c>
      <c r="D131" s="2">
        <f>MATCH(Data_Table[[#This Row],[Week]],_xlfn._xlws.SORT(_xlfn.UNIQUE(Data_Table[Week]),1,-1),0)</f>
        <v>2</v>
      </c>
      <c r="E131" s="2" t="str">
        <f>TEXT(Data_Table[[#This Row],[Date of the Ticket for Review]],"mmm")</f>
        <v>Nov</v>
      </c>
      <c r="F131" s="9">
        <v>884997</v>
      </c>
      <c r="G131" s="9" t="str">
        <f>VLOOKUP(F131,Agent_Table[],2,FALSE)</f>
        <v>Brianna Arrighi</v>
      </c>
      <c r="H131" s="9" t="str">
        <f>IFERROR(VLOOKUP(Data_Table[[#This Row],[Ticket ID]],Product_Table[],2,FALSE),"")</f>
        <v>Platforms &amp; API</v>
      </c>
      <c r="I131" s="4" t="s">
        <v>2</v>
      </c>
      <c r="J131" s="9">
        <v>3</v>
      </c>
      <c r="K131" s="9">
        <v>3</v>
      </c>
      <c r="L131" s="9">
        <v>3</v>
      </c>
      <c r="M131" s="9">
        <v>3</v>
      </c>
      <c r="N131" s="9">
        <v>3</v>
      </c>
      <c r="O131" s="9">
        <v>3</v>
      </c>
      <c r="P131" s="9">
        <v>3</v>
      </c>
      <c r="Q131" s="9">
        <v>3</v>
      </c>
      <c r="R131" s="6" t="s">
        <v>3</v>
      </c>
      <c r="S131" s="6" t="str">
        <f>IF(MIN(Data_Table[[#This Row],[Grammar &amp; Syntax ]:[Quality of First Response]])&lt;=1,"Fail",IF(MIN(Data_Table[[#This Row],[Grammar &amp; Syntax ]:[Quality of First Response]])=2,"Neutral","Pass"))</f>
        <v>Pass</v>
      </c>
      <c r="T131" s="6" t="str">
        <f>IF(MIN(Data_Table[[#This Row],[Grammar &amp; Syntax ]:[Quality of First Response]])&lt;=1,"Fail",IF(MIN(Data_Table[[#This Row],[Grammar &amp; Syntax ]:[Quality of First Response]])=2,"Pass","Pass"))</f>
        <v>Pass</v>
      </c>
      <c r="U131" s="6">
        <f>IF(Data_Table[[#This Row],[Compliance Critical PF]]="Fail",1,0)</f>
        <v>0</v>
      </c>
      <c r="V131" s="6"/>
      <c r="W131" s="8">
        <v>3</v>
      </c>
      <c r="X131" s="8">
        <v>3</v>
      </c>
      <c r="Y131" s="8">
        <v>3</v>
      </c>
      <c r="Z131" s="8">
        <v>3</v>
      </c>
      <c r="AA131" s="8">
        <v>3</v>
      </c>
      <c r="AB131" s="8">
        <v>2</v>
      </c>
      <c r="AC131" s="8">
        <v>3</v>
      </c>
      <c r="AD131" s="8">
        <v>3</v>
      </c>
      <c r="AE131" s="8">
        <v>2</v>
      </c>
      <c r="AF131" s="7" t="s">
        <v>77</v>
      </c>
      <c r="AG131" s="7" t="str">
        <f>IF(MIN(Data_Table[[#This Row],[Priority Level]:[Effective escalation ]])&lt;=1,"Fail",IF(MIN(Data_Table[[#This Row],[Priority Level]:[Effective escalation ]])=2,"Neutral","Pass"))</f>
        <v>Neutral</v>
      </c>
      <c r="AH131" s="2" t="str">
        <f>IF(MIN(Data_Table[[#This Row],[Priority Level]:[Effective escalation ]])&lt;=1,"Fail",IF(MIN(Data_Table[[#This Row],[Priority Level]:[Effective escalation ]])=2,"Pass","Pass"))</f>
        <v>Pass</v>
      </c>
      <c r="AI131" s="2" t="str">
        <f>IF(Data_Table[[#This Row],[Business Critical PF]]="Fail",1,"")</f>
        <v/>
      </c>
      <c r="AJ131" s="6" t="str">
        <f>IF(MIN(Data_Table[[#This Row],[Grammar &amp; Syntax ]:[Quality of First Response]],Data_Table[[#This Row],[Priority Level]:[Effective escalation ]])&lt;=1,"Fail",IF(MIN(Data_Table[[#This Row],[Grammar &amp; Syntax ]:[Quality of First Response]],Data_Table[[#This Row],[Priority Level]:[Effective escalation ]])=2,"Neutral","Pass"))</f>
        <v>Neutral</v>
      </c>
      <c r="AK131" s="6" t="str">
        <f>IF(MIN(Data_Table[[#This Row],[Grammar &amp; Syntax ]:[Quality of First Response]],Data_Table[[#This Row],[Priority Level]:[Effective escalation ]])&lt;=1,"Fail",IF(MIN(Data_Table[[#This Row],[Grammar &amp; Syntax ]:[Quality of First Response]],Data_Table[[#This Row],[Priority Level]:[Effective escalation ]])=2,"Pass","Pass"))</f>
        <v>Pass</v>
      </c>
      <c r="AL131" s="6" t="str">
        <f>IF(Data_Table[[#This Row],[Attribute Fail Rate PF]]="Fail",1,"")</f>
        <v/>
      </c>
      <c r="AM131" s="6">
        <f>1</f>
        <v>1</v>
      </c>
      <c r="AN131" s="6" t="str">
        <f>IF(Data_Table[[#This Row],[Attribute Fail Rate PF]]="Fail",Data_Table[[#This Row],[Ticket ID]],"")</f>
        <v/>
      </c>
      <c r="AO131" s="6" t="str" cm="1">
        <f t="array" ref="AO131">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c r="AP131" s="12"/>
    </row>
    <row r="132" spans="1:42" ht="15" customHeight="1" x14ac:dyDescent="0.25">
      <c r="A132" s="11">
        <v>44876</v>
      </c>
      <c r="B132" s="2" t="s">
        <v>6</v>
      </c>
      <c r="C132" s="2">
        <f t="shared" si="4"/>
        <v>46</v>
      </c>
      <c r="D132" s="2">
        <f>MATCH(Data_Table[[#This Row],[Week]],_xlfn._xlws.SORT(_xlfn.UNIQUE(Data_Table[Week]),1,-1),0)</f>
        <v>2</v>
      </c>
      <c r="E132" s="2" t="str">
        <f>TEXT(Data_Table[[#This Row],[Date of the Ticket for Review]],"mmm")</f>
        <v>Nov</v>
      </c>
      <c r="F132" s="9">
        <v>891057</v>
      </c>
      <c r="G132" s="9" t="str">
        <f>VLOOKUP(F132,Agent_Table[],2,FALSE)</f>
        <v>Brianna Arrighi</v>
      </c>
      <c r="H132" s="9" t="str">
        <f>IFERROR(VLOOKUP(Data_Table[[#This Row],[Ticket ID]],Product_Table[],2,FALSE),"")</f>
        <v/>
      </c>
      <c r="I132" s="4" t="s">
        <v>2</v>
      </c>
      <c r="J132" s="9">
        <v>3</v>
      </c>
      <c r="K132" s="9">
        <v>3</v>
      </c>
      <c r="L132" s="9">
        <v>3</v>
      </c>
      <c r="M132" s="9">
        <v>3</v>
      </c>
      <c r="N132" s="9">
        <v>3</v>
      </c>
      <c r="O132" s="9">
        <v>3</v>
      </c>
      <c r="P132" s="9">
        <v>3</v>
      </c>
      <c r="Q132" s="9">
        <v>3</v>
      </c>
      <c r="R132" s="6" t="s">
        <v>3</v>
      </c>
      <c r="S132" s="6" t="str">
        <f>IF(MIN(Data_Table[[#This Row],[Grammar &amp; Syntax ]:[Quality of First Response]])&lt;=1,"Fail",IF(MIN(Data_Table[[#This Row],[Grammar &amp; Syntax ]:[Quality of First Response]])=2,"Neutral","Pass"))</f>
        <v>Pass</v>
      </c>
      <c r="T132" s="6" t="str">
        <f>IF(MIN(Data_Table[[#This Row],[Grammar &amp; Syntax ]:[Quality of First Response]])&lt;=1,"Fail",IF(MIN(Data_Table[[#This Row],[Grammar &amp; Syntax ]:[Quality of First Response]])=2,"Pass","Pass"))</f>
        <v>Pass</v>
      </c>
      <c r="U132" s="6">
        <f>IF(Data_Table[[#This Row],[Compliance Critical PF]]="Fail",1,0)</f>
        <v>0</v>
      </c>
      <c r="V132" s="6"/>
      <c r="W132" s="8">
        <v>3</v>
      </c>
      <c r="X132" s="8">
        <v>3</v>
      </c>
      <c r="Y132" s="8">
        <v>3</v>
      </c>
      <c r="Z132" s="8">
        <v>3</v>
      </c>
      <c r="AA132" s="1" t="s">
        <v>12</v>
      </c>
      <c r="AB132" s="8">
        <v>3</v>
      </c>
      <c r="AC132" s="8">
        <v>3</v>
      </c>
      <c r="AD132" s="8">
        <v>3</v>
      </c>
      <c r="AE132" s="1" t="s">
        <v>12</v>
      </c>
      <c r="AF132" s="7" t="s">
        <v>12</v>
      </c>
      <c r="AG132" s="7" t="str">
        <f>IF(MIN(Data_Table[[#This Row],[Priority Level]:[Effective escalation ]])&lt;=1,"Fail",IF(MIN(Data_Table[[#This Row],[Priority Level]:[Effective escalation ]])=2,"Neutral","Pass"))</f>
        <v>Pass</v>
      </c>
      <c r="AH132" s="2" t="str">
        <f>IF(MIN(Data_Table[[#This Row],[Priority Level]:[Effective escalation ]])&lt;=1,"Fail",IF(MIN(Data_Table[[#This Row],[Priority Level]:[Effective escalation ]])=2,"Pass","Pass"))</f>
        <v>Pass</v>
      </c>
      <c r="AI132" s="2" t="str">
        <f>IF(Data_Table[[#This Row],[Business Critical PF]]="Fail",1,"")</f>
        <v/>
      </c>
      <c r="AJ132" s="6"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132" s="6" t="str">
        <f>IF(MIN(Data_Table[[#This Row],[Grammar &amp; Syntax ]:[Quality of First Response]],Data_Table[[#This Row],[Priority Level]:[Effective escalation ]])&lt;=1,"Fail",IF(MIN(Data_Table[[#This Row],[Grammar &amp; Syntax ]:[Quality of First Response]],Data_Table[[#This Row],[Priority Level]:[Effective escalation ]])=2,"Pass","Pass"))</f>
        <v>Pass</v>
      </c>
      <c r="AL132" s="6" t="str">
        <f>IF(Data_Table[[#This Row],[Attribute Fail Rate PF]]="Fail",1,"")</f>
        <v/>
      </c>
      <c r="AM132" s="6">
        <f>1</f>
        <v>1</v>
      </c>
      <c r="AN132" s="6" t="str">
        <f>IF(Data_Table[[#This Row],[Attribute Fail Rate PF]]="Fail",Data_Table[[#This Row],[Ticket ID]],"")</f>
        <v/>
      </c>
      <c r="AO132" s="6" t="str" cm="1">
        <f t="array" ref="AO132">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c r="AP132" s="12"/>
    </row>
    <row r="133" spans="1:42" ht="15" customHeight="1" x14ac:dyDescent="0.25">
      <c r="A133" s="11">
        <v>44876</v>
      </c>
      <c r="B133" s="2" t="s">
        <v>6</v>
      </c>
      <c r="C133" s="2">
        <f t="shared" si="4"/>
        <v>46</v>
      </c>
      <c r="D133" s="2">
        <f>MATCH(Data_Table[[#This Row],[Week]],_xlfn._xlws.SORT(_xlfn.UNIQUE(Data_Table[Week]),1,-1),0)</f>
        <v>2</v>
      </c>
      <c r="E133" s="2" t="str">
        <f>TEXT(Data_Table[[#This Row],[Date of the Ticket for Review]],"mmm")</f>
        <v>Nov</v>
      </c>
      <c r="F133" s="9">
        <v>889717</v>
      </c>
      <c r="G133" s="9" t="str">
        <f>VLOOKUP(F133,Agent_Table[],2,FALSE)</f>
        <v>Nadia Ahmed</v>
      </c>
      <c r="H133" s="9" t="str">
        <f>IFERROR(VLOOKUP(Data_Table[[#This Row],[Ticket ID]],Product_Table[],2,FALSE),"")</f>
        <v>Performance &amp; Delivery</v>
      </c>
      <c r="I133" s="4" t="s">
        <v>2</v>
      </c>
      <c r="J133" s="9">
        <v>3</v>
      </c>
      <c r="K133" s="9">
        <v>3</v>
      </c>
      <c r="L133" s="9">
        <v>3</v>
      </c>
      <c r="M133" s="9">
        <v>3</v>
      </c>
      <c r="N133" s="9">
        <v>3</v>
      </c>
      <c r="O133" s="9">
        <v>3</v>
      </c>
      <c r="P133" s="9">
        <v>3</v>
      </c>
      <c r="Q133" s="9">
        <v>3</v>
      </c>
      <c r="R133" s="6" t="s">
        <v>3</v>
      </c>
      <c r="S133" s="6" t="str">
        <f>IF(MIN(Data_Table[[#This Row],[Grammar &amp; Syntax ]:[Quality of First Response]])&lt;=1,"Fail",IF(MIN(Data_Table[[#This Row],[Grammar &amp; Syntax ]:[Quality of First Response]])=2,"Neutral","Pass"))</f>
        <v>Pass</v>
      </c>
      <c r="T133" s="6" t="str">
        <f>IF(MIN(Data_Table[[#This Row],[Grammar &amp; Syntax ]:[Quality of First Response]])&lt;=1,"Fail",IF(MIN(Data_Table[[#This Row],[Grammar &amp; Syntax ]:[Quality of First Response]])=2,"Pass","Pass"))</f>
        <v>Pass</v>
      </c>
      <c r="U133" s="6">
        <f>IF(Data_Table[[#This Row],[Compliance Critical PF]]="Fail",1,0)</f>
        <v>0</v>
      </c>
      <c r="V133" s="6"/>
      <c r="W133" s="8">
        <v>3</v>
      </c>
      <c r="X133" s="8">
        <v>3</v>
      </c>
      <c r="Y133" s="8">
        <v>3</v>
      </c>
      <c r="Z133" s="8">
        <v>3</v>
      </c>
      <c r="AA133" s="1" t="s">
        <v>12</v>
      </c>
      <c r="AB133" s="8">
        <v>3</v>
      </c>
      <c r="AC133" s="8">
        <v>3</v>
      </c>
      <c r="AD133" s="8">
        <v>3</v>
      </c>
      <c r="AE133" s="1" t="s">
        <v>12</v>
      </c>
      <c r="AF133" s="7" t="s">
        <v>12</v>
      </c>
      <c r="AG133" s="7" t="str">
        <f>IF(MIN(Data_Table[[#This Row],[Priority Level]:[Effective escalation ]])&lt;=1,"Fail",IF(MIN(Data_Table[[#This Row],[Priority Level]:[Effective escalation ]])=2,"Neutral","Pass"))</f>
        <v>Pass</v>
      </c>
      <c r="AH133" s="2" t="str">
        <f>IF(MIN(Data_Table[[#This Row],[Priority Level]:[Effective escalation ]])&lt;=1,"Fail",IF(MIN(Data_Table[[#This Row],[Priority Level]:[Effective escalation ]])=2,"Pass","Pass"))</f>
        <v>Pass</v>
      </c>
      <c r="AI133" s="2" t="str">
        <f>IF(Data_Table[[#This Row],[Business Critical PF]]="Fail",1,"")</f>
        <v/>
      </c>
      <c r="AJ133" s="6"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133" s="6" t="str">
        <f>IF(MIN(Data_Table[[#This Row],[Grammar &amp; Syntax ]:[Quality of First Response]],Data_Table[[#This Row],[Priority Level]:[Effective escalation ]])&lt;=1,"Fail",IF(MIN(Data_Table[[#This Row],[Grammar &amp; Syntax ]:[Quality of First Response]],Data_Table[[#This Row],[Priority Level]:[Effective escalation ]])=2,"Pass","Pass"))</f>
        <v>Pass</v>
      </c>
      <c r="AL133" s="6" t="str">
        <f>IF(Data_Table[[#This Row],[Attribute Fail Rate PF]]="Fail",1,"")</f>
        <v/>
      </c>
      <c r="AM133" s="6">
        <f>1</f>
        <v>1</v>
      </c>
      <c r="AN133" s="6" t="str">
        <f>IF(Data_Table[[#This Row],[Attribute Fail Rate PF]]="Fail",Data_Table[[#This Row],[Ticket ID]],"")</f>
        <v/>
      </c>
      <c r="AO133" s="6" t="str" cm="1">
        <f t="array" ref="AO133">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c r="AP133" s="12"/>
    </row>
    <row r="134" spans="1:42" ht="15" customHeight="1" x14ac:dyDescent="0.25">
      <c r="A134" s="11">
        <v>44875</v>
      </c>
      <c r="B134" s="2" t="s">
        <v>6</v>
      </c>
      <c r="C134" s="2">
        <f t="shared" si="4"/>
        <v>46</v>
      </c>
      <c r="D134" s="2">
        <f>MATCH(Data_Table[[#This Row],[Week]],_xlfn._xlws.SORT(_xlfn.UNIQUE(Data_Table[Week]),1,-1),0)</f>
        <v>2</v>
      </c>
      <c r="E134" s="2" t="str">
        <f>TEXT(Data_Table[[#This Row],[Date of the Ticket for Review]],"mmm")</f>
        <v>Nov</v>
      </c>
      <c r="F134" s="9">
        <v>889642</v>
      </c>
      <c r="G134" s="9" t="str">
        <f>VLOOKUP(F134,Agent_Table[],2,FALSE)</f>
        <v>Nadia Ahmed</v>
      </c>
      <c r="H134" s="9" t="str">
        <f>IFERROR(VLOOKUP(Data_Table[[#This Row],[Ticket ID]],Product_Table[],2,FALSE),"")</f>
        <v>Platforms &amp; API</v>
      </c>
      <c r="I134" s="4" t="s">
        <v>2</v>
      </c>
      <c r="J134" s="9">
        <v>3</v>
      </c>
      <c r="K134" s="9">
        <v>3</v>
      </c>
      <c r="L134" s="9">
        <v>3</v>
      </c>
      <c r="M134" s="9">
        <v>3</v>
      </c>
      <c r="N134" s="9">
        <v>3</v>
      </c>
      <c r="O134" s="9">
        <v>3</v>
      </c>
      <c r="P134" s="9">
        <v>3</v>
      </c>
      <c r="Q134" s="9">
        <v>3</v>
      </c>
      <c r="R134" s="6" t="s">
        <v>3</v>
      </c>
      <c r="S134" s="6" t="str">
        <f>IF(MIN(Data_Table[[#This Row],[Grammar &amp; Syntax ]:[Quality of First Response]])&lt;=1,"Fail",IF(MIN(Data_Table[[#This Row],[Grammar &amp; Syntax ]:[Quality of First Response]])=2,"Neutral","Pass"))</f>
        <v>Pass</v>
      </c>
      <c r="T134" s="6" t="str">
        <f>IF(MIN(Data_Table[[#This Row],[Grammar &amp; Syntax ]:[Quality of First Response]])&lt;=1,"Fail",IF(MIN(Data_Table[[#This Row],[Grammar &amp; Syntax ]:[Quality of First Response]])=2,"Pass","Pass"))</f>
        <v>Pass</v>
      </c>
      <c r="U134" s="6">
        <f>IF(Data_Table[[#This Row],[Compliance Critical PF]]="Fail",1,0)</f>
        <v>0</v>
      </c>
      <c r="V134" s="6"/>
      <c r="W134" s="8">
        <v>3</v>
      </c>
      <c r="X134" s="8">
        <v>3</v>
      </c>
      <c r="Y134" s="8">
        <v>3</v>
      </c>
      <c r="Z134" s="8">
        <v>3</v>
      </c>
      <c r="AA134" s="1" t="s">
        <v>12</v>
      </c>
      <c r="AB134" s="8">
        <v>3</v>
      </c>
      <c r="AC134" s="8">
        <v>3</v>
      </c>
      <c r="AD134" s="8">
        <v>3</v>
      </c>
      <c r="AE134" s="1" t="s">
        <v>12</v>
      </c>
      <c r="AF134" s="7" t="s">
        <v>12</v>
      </c>
      <c r="AG134" s="7" t="str">
        <f>IF(MIN(Data_Table[[#This Row],[Priority Level]:[Effective escalation ]])&lt;=1,"Fail",IF(MIN(Data_Table[[#This Row],[Priority Level]:[Effective escalation ]])=2,"Neutral","Pass"))</f>
        <v>Pass</v>
      </c>
      <c r="AH134" s="2" t="str">
        <f>IF(MIN(Data_Table[[#This Row],[Priority Level]:[Effective escalation ]])&lt;=1,"Fail",IF(MIN(Data_Table[[#This Row],[Priority Level]:[Effective escalation ]])=2,"Pass","Pass"))</f>
        <v>Pass</v>
      </c>
      <c r="AI134" s="2" t="str">
        <f>IF(Data_Table[[#This Row],[Business Critical PF]]="Fail",1,"")</f>
        <v/>
      </c>
      <c r="AJ134" s="6"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134" s="6" t="str">
        <f>IF(MIN(Data_Table[[#This Row],[Grammar &amp; Syntax ]:[Quality of First Response]],Data_Table[[#This Row],[Priority Level]:[Effective escalation ]])&lt;=1,"Fail",IF(MIN(Data_Table[[#This Row],[Grammar &amp; Syntax ]:[Quality of First Response]],Data_Table[[#This Row],[Priority Level]:[Effective escalation ]])=2,"Pass","Pass"))</f>
        <v>Pass</v>
      </c>
      <c r="AL134" s="6" t="str">
        <f>IF(Data_Table[[#This Row],[Attribute Fail Rate PF]]="Fail",1,"")</f>
        <v/>
      </c>
      <c r="AM134" s="6">
        <f>1</f>
        <v>1</v>
      </c>
      <c r="AN134" s="6" t="str">
        <f>IF(Data_Table[[#This Row],[Attribute Fail Rate PF]]="Fail",Data_Table[[#This Row],[Ticket ID]],"")</f>
        <v/>
      </c>
      <c r="AO134" s="6" t="str" cm="1">
        <f t="array" ref="AO134">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c r="AP134" s="12"/>
    </row>
    <row r="135" spans="1:42" ht="15" customHeight="1" x14ac:dyDescent="0.25">
      <c r="A135" s="11">
        <v>44873</v>
      </c>
      <c r="B135" s="2" t="s">
        <v>6</v>
      </c>
      <c r="C135" s="2">
        <f t="shared" si="4"/>
        <v>46</v>
      </c>
      <c r="D135" s="2">
        <f>MATCH(Data_Table[[#This Row],[Week]],_xlfn._xlws.SORT(_xlfn.UNIQUE(Data_Table[Week]),1,-1),0)</f>
        <v>2</v>
      </c>
      <c r="E135" s="2" t="str">
        <f>TEXT(Data_Table[[#This Row],[Date of the Ticket for Review]],"mmm")</f>
        <v>Nov</v>
      </c>
      <c r="F135" s="9">
        <v>885632</v>
      </c>
      <c r="G135" s="9" t="str">
        <f>VLOOKUP(F135,Agent_Table[],2,FALSE)</f>
        <v>Ray Jones</v>
      </c>
      <c r="H135" s="9" t="str">
        <f>IFERROR(VLOOKUP(Data_Table[[#This Row],[Ticket ID]],Product_Table[],2,FALSE),"")</f>
        <v>Measurement</v>
      </c>
      <c r="I135" s="4" t="s">
        <v>2</v>
      </c>
      <c r="J135" s="9">
        <v>3</v>
      </c>
      <c r="K135" s="9">
        <v>3</v>
      </c>
      <c r="L135" s="9">
        <v>3</v>
      </c>
      <c r="M135" s="9">
        <v>3</v>
      </c>
      <c r="N135" s="9">
        <v>3</v>
      </c>
      <c r="O135" s="9">
        <v>3</v>
      </c>
      <c r="P135" s="9">
        <v>3</v>
      </c>
      <c r="Q135" s="9">
        <v>3</v>
      </c>
      <c r="R135" s="6" t="s">
        <v>3</v>
      </c>
      <c r="S135" s="6" t="str">
        <f>IF(MIN(Data_Table[[#This Row],[Grammar &amp; Syntax ]:[Quality of First Response]])&lt;=1,"Fail",IF(MIN(Data_Table[[#This Row],[Grammar &amp; Syntax ]:[Quality of First Response]])=2,"Neutral","Pass"))</f>
        <v>Pass</v>
      </c>
      <c r="T135" s="6" t="str">
        <f>IF(MIN(Data_Table[[#This Row],[Grammar &amp; Syntax ]:[Quality of First Response]])&lt;=1,"Fail",IF(MIN(Data_Table[[#This Row],[Grammar &amp; Syntax ]:[Quality of First Response]])=2,"Pass","Pass"))</f>
        <v>Pass</v>
      </c>
      <c r="U135" s="6">
        <f>IF(Data_Table[[#This Row],[Compliance Critical PF]]="Fail",1,0)</f>
        <v>0</v>
      </c>
      <c r="V135" s="6"/>
      <c r="W135" s="8">
        <v>3</v>
      </c>
      <c r="X135" s="8">
        <v>3</v>
      </c>
      <c r="Y135" s="8">
        <v>3</v>
      </c>
      <c r="Z135" s="8">
        <v>3</v>
      </c>
      <c r="AA135" s="1" t="s">
        <v>12</v>
      </c>
      <c r="AB135" s="8">
        <v>3</v>
      </c>
      <c r="AC135" s="8">
        <v>3</v>
      </c>
      <c r="AD135" s="8">
        <v>3</v>
      </c>
      <c r="AE135" s="1" t="s">
        <v>12</v>
      </c>
      <c r="AF135" s="7" t="s">
        <v>12</v>
      </c>
      <c r="AG135" s="7" t="str">
        <f>IF(MIN(Data_Table[[#This Row],[Priority Level]:[Effective escalation ]])&lt;=1,"Fail",IF(MIN(Data_Table[[#This Row],[Priority Level]:[Effective escalation ]])=2,"Neutral","Pass"))</f>
        <v>Pass</v>
      </c>
      <c r="AH135" s="2" t="str">
        <f>IF(MIN(Data_Table[[#This Row],[Priority Level]:[Effective escalation ]])&lt;=1,"Fail",IF(MIN(Data_Table[[#This Row],[Priority Level]:[Effective escalation ]])=2,"Pass","Pass"))</f>
        <v>Pass</v>
      </c>
      <c r="AI135" s="2" t="str">
        <f>IF(Data_Table[[#This Row],[Business Critical PF]]="Fail",1,"")</f>
        <v/>
      </c>
      <c r="AJ135" s="6"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135" s="6" t="str">
        <f>IF(MIN(Data_Table[[#This Row],[Grammar &amp; Syntax ]:[Quality of First Response]],Data_Table[[#This Row],[Priority Level]:[Effective escalation ]])&lt;=1,"Fail",IF(MIN(Data_Table[[#This Row],[Grammar &amp; Syntax ]:[Quality of First Response]],Data_Table[[#This Row],[Priority Level]:[Effective escalation ]])=2,"Pass","Pass"))</f>
        <v>Pass</v>
      </c>
      <c r="AL135" s="6" t="str">
        <f>IF(Data_Table[[#This Row],[Attribute Fail Rate PF]]="Fail",1,"")</f>
        <v/>
      </c>
      <c r="AM135" s="6">
        <f>1</f>
        <v>1</v>
      </c>
      <c r="AN135" s="6" t="str">
        <f>IF(Data_Table[[#This Row],[Attribute Fail Rate PF]]="Fail",Data_Table[[#This Row],[Ticket ID]],"")</f>
        <v/>
      </c>
      <c r="AO135" s="6" t="str" cm="1">
        <f t="array" ref="AO135">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c r="AP135" s="12"/>
    </row>
    <row r="136" spans="1:42" ht="15" customHeight="1" x14ac:dyDescent="0.25">
      <c r="A136" s="11">
        <v>44873</v>
      </c>
      <c r="B136" s="2" t="s">
        <v>6</v>
      </c>
      <c r="C136" s="2">
        <f t="shared" si="4"/>
        <v>46</v>
      </c>
      <c r="D136" s="2">
        <f>MATCH(Data_Table[[#This Row],[Week]],_xlfn._xlws.SORT(_xlfn.UNIQUE(Data_Table[Week]),1,-1),0)</f>
        <v>2</v>
      </c>
      <c r="E136" s="2" t="str">
        <f>TEXT(Data_Table[[#This Row],[Date of the Ticket for Review]],"mmm")</f>
        <v>Nov</v>
      </c>
      <c r="F136" s="9">
        <v>884798</v>
      </c>
      <c r="G136" s="9" t="str">
        <f>VLOOKUP(F136,Agent_Table[],2,FALSE)</f>
        <v>Ray Jones</v>
      </c>
      <c r="H136" s="9" t="str">
        <f>IFERROR(VLOOKUP(Data_Table[[#This Row],[Ticket ID]],Product_Table[],2,FALSE),"")</f>
        <v>Measurement</v>
      </c>
      <c r="I136" s="4" t="s">
        <v>2</v>
      </c>
      <c r="J136" s="9">
        <v>3</v>
      </c>
      <c r="K136" s="9">
        <v>3</v>
      </c>
      <c r="L136" s="9">
        <v>3</v>
      </c>
      <c r="M136" s="9">
        <v>3</v>
      </c>
      <c r="N136" s="9">
        <v>3</v>
      </c>
      <c r="O136" s="9">
        <v>3</v>
      </c>
      <c r="P136" s="9">
        <v>3</v>
      </c>
      <c r="Q136" s="9">
        <v>3</v>
      </c>
      <c r="R136" s="6" t="s">
        <v>3</v>
      </c>
      <c r="S136" s="6" t="str">
        <f>IF(MIN(Data_Table[[#This Row],[Grammar &amp; Syntax ]:[Quality of First Response]])&lt;=1,"Fail",IF(MIN(Data_Table[[#This Row],[Grammar &amp; Syntax ]:[Quality of First Response]])=2,"Neutral","Pass"))</f>
        <v>Pass</v>
      </c>
      <c r="T136" s="6" t="str">
        <f>IF(MIN(Data_Table[[#This Row],[Grammar &amp; Syntax ]:[Quality of First Response]])&lt;=1,"Fail",IF(MIN(Data_Table[[#This Row],[Grammar &amp; Syntax ]:[Quality of First Response]])=2,"Pass","Pass"))</f>
        <v>Pass</v>
      </c>
      <c r="U136" s="6">
        <f>IF(Data_Table[[#This Row],[Compliance Critical PF]]="Fail",1,0)</f>
        <v>0</v>
      </c>
      <c r="V136" s="6"/>
      <c r="W136" s="8">
        <v>3</v>
      </c>
      <c r="X136" s="8">
        <v>3</v>
      </c>
      <c r="Y136" s="8">
        <v>3</v>
      </c>
      <c r="Z136" s="8">
        <v>3</v>
      </c>
      <c r="AA136" s="1" t="s">
        <v>12</v>
      </c>
      <c r="AB136" s="8">
        <v>3</v>
      </c>
      <c r="AC136" s="8">
        <v>3</v>
      </c>
      <c r="AD136" s="8">
        <v>3</v>
      </c>
      <c r="AE136" s="1" t="s">
        <v>12</v>
      </c>
      <c r="AF136" s="7" t="s">
        <v>12</v>
      </c>
      <c r="AG136" s="7" t="str">
        <f>IF(MIN(Data_Table[[#This Row],[Priority Level]:[Effective escalation ]])&lt;=1,"Fail",IF(MIN(Data_Table[[#This Row],[Priority Level]:[Effective escalation ]])=2,"Neutral","Pass"))</f>
        <v>Pass</v>
      </c>
      <c r="AH136" s="2" t="str">
        <f>IF(MIN(Data_Table[[#This Row],[Priority Level]:[Effective escalation ]])&lt;=1,"Fail",IF(MIN(Data_Table[[#This Row],[Priority Level]:[Effective escalation ]])=2,"Pass","Pass"))</f>
        <v>Pass</v>
      </c>
      <c r="AI136" s="2" t="str">
        <f>IF(Data_Table[[#This Row],[Business Critical PF]]="Fail",1,"")</f>
        <v/>
      </c>
      <c r="AJ136" s="6"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136" s="6" t="str">
        <f>IF(MIN(Data_Table[[#This Row],[Grammar &amp; Syntax ]:[Quality of First Response]],Data_Table[[#This Row],[Priority Level]:[Effective escalation ]])&lt;=1,"Fail",IF(MIN(Data_Table[[#This Row],[Grammar &amp; Syntax ]:[Quality of First Response]],Data_Table[[#This Row],[Priority Level]:[Effective escalation ]])=2,"Pass","Pass"))</f>
        <v>Pass</v>
      </c>
      <c r="AL136" s="6" t="str">
        <f>IF(Data_Table[[#This Row],[Attribute Fail Rate PF]]="Fail",1,"")</f>
        <v/>
      </c>
      <c r="AM136" s="6">
        <f>1</f>
        <v>1</v>
      </c>
      <c r="AN136" s="6" t="str">
        <f>IF(Data_Table[[#This Row],[Attribute Fail Rate PF]]="Fail",Data_Table[[#This Row],[Ticket ID]],"")</f>
        <v/>
      </c>
      <c r="AO136" s="6" t="str" cm="1">
        <f t="array" ref="AO136">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c r="AP136" s="12"/>
    </row>
    <row r="137" spans="1:42" ht="15" customHeight="1" x14ac:dyDescent="0.25">
      <c r="A137" s="11">
        <v>44874</v>
      </c>
      <c r="B137" s="2" t="s">
        <v>6</v>
      </c>
      <c r="C137" s="2">
        <f t="shared" si="4"/>
        <v>46</v>
      </c>
      <c r="D137" s="2">
        <f>MATCH(Data_Table[[#This Row],[Week]],_xlfn._xlws.SORT(_xlfn.UNIQUE(Data_Table[Week]),1,-1),0)</f>
        <v>2</v>
      </c>
      <c r="E137" s="2" t="str">
        <f>TEXT(Data_Table[[#This Row],[Date of the Ticket for Review]],"mmm")</f>
        <v>Nov</v>
      </c>
      <c r="F137" s="9">
        <v>886455</v>
      </c>
      <c r="G137" s="9" t="str">
        <f>VLOOKUP(F137,Agent_Table[],2,FALSE)</f>
        <v>Grant Gundersen</v>
      </c>
      <c r="H137" s="9" t="str">
        <f>IFERROR(VLOOKUP(Data_Table[[#This Row],[Ticket ID]],Product_Table[],2,FALSE),"")</f>
        <v>Performance &amp; Delivery</v>
      </c>
      <c r="I137" s="4" t="s">
        <v>2</v>
      </c>
      <c r="J137" s="9">
        <v>3</v>
      </c>
      <c r="K137" s="9">
        <v>3</v>
      </c>
      <c r="L137" s="9">
        <v>3</v>
      </c>
      <c r="M137" s="9">
        <v>3</v>
      </c>
      <c r="N137" s="9">
        <v>3</v>
      </c>
      <c r="O137" s="9">
        <v>3</v>
      </c>
      <c r="P137" s="9">
        <v>3</v>
      </c>
      <c r="Q137" s="9">
        <v>3</v>
      </c>
      <c r="R137" s="6" t="s">
        <v>3</v>
      </c>
      <c r="S137" s="6" t="str">
        <f>IF(MIN(Data_Table[[#This Row],[Grammar &amp; Syntax ]:[Quality of First Response]])&lt;=1,"Fail",IF(MIN(Data_Table[[#This Row],[Grammar &amp; Syntax ]:[Quality of First Response]])=2,"Neutral","Pass"))</f>
        <v>Pass</v>
      </c>
      <c r="T137" s="6" t="str">
        <f>IF(MIN(Data_Table[[#This Row],[Grammar &amp; Syntax ]:[Quality of First Response]])&lt;=1,"Fail",IF(MIN(Data_Table[[#This Row],[Grammar &amp; Syntax ]:[Quality of First Response]])=2,"Pass","Pass"))</f>
        <v>Pass</v>
      </c>
      <c r="U137" s="6">
        <f>IF(Data_Table[[#This Row],[Compliance Critical PF]]="Fail",1,0)</f>
        <v>0</v>
      </c>
      <c r="V137" s="6"/>
      <c r="W137" s="8">
        <v>3</v>
      </c>
      <c r="X137" s="8">
        <v>3</v>
      </c>
      <c r="Y137" s="8">
        <v>3</v>
      </c>
      <c r="Z137" s="8">
        <v>3</v>
      </c>
      <c r="AA137" s="1" t="s">
        <v>12</v>
      </c>
      <c r="AB137" s="8">
        <v>3</v>
      </c>
      <c r="AC137" s="8">
        <v>3</v>
      </c>
      <c r="AD137" s="8">
        <v>3</v>
      </c>
      <c r="AE137" s="1" t="s">
        <v>12</v>
      </c>
      <c r="AF137" s="7" t="s">
        <v>12</v>
      </c>
      <c r="AG137" s="7" t="str">
        <f>IF(MIN(Data_Table[[#This Row],[Priority Level]:[Effective escalation ]])&lt;=1,"Fail",IF(MIN(Data_Table[[#This Row],[Priority Level]:[Effective escalation ]])=2,"Neutral","Pass"))</f>
        <v>Pass</v>
      </c>
      <c r="AH137" s="2" t="str">
        <f>IF(MIN(Data_Table[[#This Row],[Priority Level]:[Effective escalation ]])&lt;=1,"Fail",IF(MIN(Data_Table[[#This Row],[Priority Level]:[Effective escalation ]])=2,"Pass","Pass"))</f>
        <v>Pass</v>
      </c>
      <c r="AI137" s="2" t="str">
        <f>IF(Data_Table[[#This Row],[Business Critical PF]]="Fail",1,"")</f>
        <v/>
      </c>
      <c r="AJ137" s="6"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137" s="6" t="str">
        <f>IF(MIN(Data_Table[[#This Row],[Grammar &amp; Syntax ]:[Quality of First Response]],Data_Table[[#This Row],[Priority Level]:[Effective escalation ]])&lt;=1,"Fail",IF(MIN(Data_Table[[#This Row],[Grammar &amp; Syntax ]:[Quality of First Response]],Data_Table[[#This Row],[Priority Level]:[Effective escalation ]])=2,"Pass","Pass"))</f>
        <v>Pass</v>
      </c>
      <c r="AL137" s="6" t="str">
        <f>IF(Data_Table[[#This Row],[Attribute Fail Rate PF]]="Fail",1,"")</f>
        <v/>
      </c>
      <c r="AM137" s="6">
        <f>1</f>
        <v>1</v>
      </c>
      <c r="AN137" s="6" t="str">
        <f>IF(Data_Table[[#This Row],[Attribute Fail Rate PF]]="Fail",Data_Table[[#This Row],[Ticket ID]],"")</f>
        <v/>
      </c>
      <c r="AO137" s="6" t="str" cm="1">
        <f t="array" ref="AO137">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c r="AP137" s="12"/>
    </row>
    <row r="138" spans="1:42" ht="15" customHeight="1" x14ac:dyDescent="0.25">
      <c r="A138" s="11">
        <v>44877</v>
      </c>
      <c r="B138" s="2" t="s">
        <v>6</v>
      </c>
      <c r="C138" s="2">
        <f t="shared" si="4"/>
        <v>46</v>
      </c>
      <c r="D138" s="2">
        <f>MATCH(Data_Table[[#This Row],[Week]],_xlfn._xlws.SORT(_xlfn.UNIQUE(Data_Table[Week]),1,-1),0)</f>
        <v>2</v>
      </c>
      <c r="E138" s="2" t="str">
        <f>TEXT(Data_Table[[#This Row],[Date of the Ticket for Review]],"mmm")</f>
        <v>Nov</v>
      </c>
      <c r="F138" s="9">
        <v>891272</v>
      </c>
      <c r="G138" s="9" t="str">
        <f>VLOOKUP(F138,Agent_Table[],2,FALSE)</f>
        <v>Grant Gundersen</v>
      </c>
      <c r="H138" s="9" t="str">
        <f>IFERROR(VLOOKUP(Data_Table[[#This Row],[Ticket ID]],Product_Table[],2,FALSE),"")</f>
        <v/>
      </c>
      <c r="I138" s="4" t="s">
        <v>2</v>
      </c>
      <c r="J138" s="9">
        <v>3</v>
      </c>
      <c r="K138" s="9">
        <v>3</v>
      </c>
      <c r="L138" s="9">
        <v>3</v>
      </c>
      <c r="M138" s="9">
        <v>3</v>
      </c>
      <c r="N138" s="9">
        <v>3</v>
      </c>
      <c r="O138" s="9">
        <v>3</v>
      </c>
      <c r="P138" s="9">
        <v>3</v>
      </c>
      <c r="Q138" s="9">
        <v>3</v>
      </c>
      <c r="R138" s="6" t="s">
        <v>3</v>
      </c>
      <c r="S138" s="6" t="str">
        <f>IF(MIN(Data_Table[[#This Row],[Grammar &amp; Syntax ]:[Quality of First Response]])&lt;=1,"Fail",IF(MIN(Data_Table[[#This Row],[Grammar &amp; Syntax ]:[Quality of First Response]])=2,"Neutral","Pass"))</f>
        <v>Pass</v>
      </c>
      <c r="T138" s="6" t="str">
        <f>IF(MIN(Data_Table[[#This Row],[Grammar &amp; Syntax ]:[Quality of First Response]])&lt;=1,"Fail",IF(MIN(Data_Table[[#This Row],[Grammar &amp; Syntax ]:[Quality of First Response]])=2,"Pass","Pass"))</f>
        <v>Pass</v>
      </c>
      <c r="U138" s="6">
        <f>IF(Data_Table[[#This Row],[Compliance Critical PF]]="Fail",1,0)</f>
        <v>0</v>
      </c>
      <c r="V138" s="6"/>
      <c r="W138" s="8">
        <v>3</v>
      </c>
      <c r="X138" s="8">
        <v>3</v>
      </c>
      <c r="Y138" s="8">
        <v>3</v>
      </c>
      <c r="Z138" s="8">
        <v>3</v>
      </c>
      <c r="AA138" s="1" t="s">
        <v>12</v>
      </c>
      <c r="AB138" s="8">
        <v>3</v>
      </c>
      <c r="AC138" s="8">
        <v>3</v>
      </c>
      <c r="AD138" s="8">
        <v>3</v>
      </c>
      <c r="AE138" s="1" t="s">
        <v>12</v>
      </c>
      <c r="AF138" s="7" t="s">
        <v>12</v>
      </c>
      <c r="AG138" s="7" t="str">
        <f>IF(MIN(Data_Table[[#This Row],[Priority Level]:[Effective escalation ]])&lt;=1,"Fail",IF(MIN(Data_Table[[#This Row],[Priority Level]:[Effective escalation ]])=2,"Neutral","Pass"))</f>
        <v>Pass</v>
      </c>
      <c r="AH138" s="2" t="str">
        <f>IF(MIN(Data_Table[[#This Row],[Priority Level]:[Effective escalation ]])&lt;=1,"Fail",IF(MIN(Data_Table[[#This Row],[Priority Level]:[Effective escalation ]])=2,"Pass","Pass"))</f>
        <v>Pass</v>
      </c>
      <c r="AI138" s="2" t="str">
        <f>IF(Data_Table[[#This Row],[Business Critical PF]]="Fail",1,"")</f>
        <v/>
      </c>
      <c r="AJ138" s="6"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138" s="6" t="str">
        <f>IF(MIN(Data_Table[[#This Row],[Grammar &amp; Syntax ]:[Quality of First Response]],Data_Table[[#This Row],[Priority Level]:[Effective escalation ]])&lt;=1,"Fail",IF(MIN(Data_Table[[#This Row],[Grammar &amp; Syntax ]:[Quality of First Response]],Data_Table[[#This Row],[Priority Level]:[Effective escalation ]])=2,"Pass","Pass"))</f>
        <v>Pass</v>
      </c>
      <c r="AL138" s="6" t="str">
        <f>IF(Data_Table[[#This Row],[Attribute Fail Rate PF]]="Fail",1,"")</f>
        <v/>
      </c>
      <c r="AM138" s="6">
        <f>1</f>
        <v>1</v>
      </c>
      <c r="AN138" s="6" t="str">
        <f>IF(Data_Table[[#This Row],[Attribute Fail Rate PF]]="Fail",Data_Table[[#This Row],[Ticket ID]],"")</f>
        <v/>
      </c>
      <c r="AO138" s="6" t="str" cm="1">
        <f t="array" ref="AO138">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c r="AP138" s="12"/>
    </row>
    <row r="139" spans="1:42" ht="15" customHeight="1" x14ac:dyDescent="0.25">
      <c r="A139" s="11">
        <v>44874</v>
      </c>
      <c r="B139" s="2" t="s">
        <v>4</v>
      </c>
      <c r="C139" s="2">
        <f t="shared" si="4"/>
        <v>46</v>
      </c>
      <c r="D139" s="2">
        <f>MATCH(Data_Table[[#This Row],[Week]],_xlfn._xlws.SORT(_xlfn.UNIQUE(Data_Table[Week]),1,-1),0)</f>
        <v>2</v>
      </c>
      <c r="E139" s="2" t="str">
        <f>TEXT(Data_Table[[#This Row],[Date of the Ticket for Review]],"mmm")</f>
        <v>Nov</v>
      </c>
      <c r="F139" s="9">
        <v>887633</v>
      </c>
      <c r="G139" s="9" t="str">
        <f>VLOOKUP(F139,Agent_Table[],2,FALSE)</f>
        <v>Rupesh Vaswani</v>
      </c>
      <c r="H139" s="9" t="str">
        <f>IFERROR(VLOOKUP(Data_Table[[#This Row],[Ticket ID]],Product_Table[],2,FALSE),"")</f>
        <v>Performance &amp; Delivery</v>
      </c>
      <c r="I139" s="4" t="s">
        <v>2</v>
      </c>
      <c r="J139" s="9">
        <v>3</v>
      </c>
      <c r="K139" s="9">
        <v>3</v>
      </c>
      <c r="L139" s="9">
        <v>3</v>
      </c>
      <c r="M139" s="9">
        <v>3</v>
      </c>
      <c r="N139" s="9">
        <v>3</v>
      </c>
      <c r="O139" s="9">
        <v>3</v>
      </c>
      <c r="P139" s="9">
        <v>3</v>
      </c>
      <c r="Q139" s="9">
        <v>3</v>
      </c>
      <c r="R139" s="6" t="s">
        <v>3</v>
      </c>
      <c r="S139" s="6" t="str">
        <f>IF(MIN(Data_Table[[#This Row],[Grammar &amp; Syntax ]:[Quality of First Response]])&lt;=1,"Fail",IF(MIN(Data_Table[[#This Row],[Grammar &amp; Syntax ]:[Quality of First Response]])=2,"Neutral","Pass"))</f>
        <v>Pass</v>
      </c>
      <c r="T139" s="6" t="str">
        <f>IF(MIN(Data_Table[[#This Row],[Grammar &amp; Syntax ]:[Quality of First Response]])&lt;=1,"Fail",IF(MIN(Data_Table[[#This Row],[Grammar &amp; Syntax ]:[Quality of First Response]])=2,"Pass","Pass"))</f>
        <v>Pass</v>
      </c>
      <c r="U139" s="6">
        <f>IF(Data_Table[[#This Row],[Compliance Critical PF]]="Fail",1,0)</f>
        <v>0</v>
      </c>
      <c r="V139" s="6"/>
      <c r="W139" s="8">
        <v>3</v>
      </c>
      <c r="X139" s="8">
        <v>3</v>
      </c>
      <c r="Y139" s="8">
        <v>2</v>
      </c>
      <c r="Z139" s="8">
        <v>2</v>
      </c>
      <c r="AA139" s="1" t="s">
        <v>12</v>
      </c>
      <c r="AB139" s="8">
        <v>2</v>
      </c>
      <c r="AC139" s="8">
        <v>3</v>
      </c>
      <c r="AD139" s="8">
        <v>3</v>
      </c>
      <c r="AE139" s="1" t="s">
        <v>12</v>
      </c>
      <c r="AF139" s="7" t="s">
        <v>78</v>
      </c>
      <c r="AG139" s="7" t="str">
        <f>IF(MIN(Data_Table[[#This Row],[Priority Level]:[Effective escalation ]])&lt;=1,"Fail",IF(MIN(Data_Table[[#This Row],[Priority Level]:[Effective escalation ]])=2,"Neutral","Pass"))</f>
        <v>Neutral</v>
      </c>
      <c r="AH139" s="2" t="str">
        <f>IF(MIN(Data_Table[[#This Row],[Priority Level]:[Effective escalation ]])&lt;=1,"Fail",IF(MIN(Data_Table[[#This Row],[Priority Level]:[Effective escalation ]])=2,"Pass","Pass"))</f>
        <v>Pass</v>
      </c>
      <c r="AI139" s="2" t="str">
        <f>IF(Data_Table[[#This Row],[Business Critical PF]]="Fail",1,"")</f>
        <v/>
      </c>
      <c r="AJ139" s="6" t="str">
        <f>IF(MIN(Data_Table[[#This Row],[Grammar &amp; Syntax ]:[Quality of First Response]],Data_Table[[#This Row],[Priority Level]:[Effective escalation ]])&lt;=1,"Fail",IF(MIN(Data_Table[[#This Row],[Grammar &amp; Syntax ]:[Quality of First Response]],Data_Table[[#This Row],[Priority Level]:[Effective escalation ]])=2,"Neutral","Pass"))</f>
        <v>Neutral</v>
      </c>
      <c r="AK139" s="6" t="str">
        <f>IF(MIN(Data_Table[[#This Row],[Grammar &amp; Syntax ]:[Quality of First Response]],Data_Table[[#This Row],[Priority Level]:[Effective escalation ]])&lt;=1,"Fail",IF(MIN(Data_Table[[#This Row],[Grammar &amp; Syntax ]:[Quality of First Response]],Data_Table[[#This Row],[Priority Level]:[Effective escalation ]])=2,"Pass","Pass"))</f>
        <v>Pass</v>
      </c>
      <c r="AL139" s="6" t="str">
        <f>IF(Data_Table[[#This Row],[Attribute Fail Rate PF]]="Fail",1,"")</f>
        <v/>
      </c>
      <c r="AM139" s="6">
        <f>1</f>
        <v>1</v>
      </c>
      <c r="AN139" s="6" t="str">
        <f>IF(Data_Table[[#This Row],[Attribute Fail Rate PF]]="Fail",Data_Table[[#This Row],[Ticket ID]],"")</f>
        <v/>
      </c>
      <c r="AO139" s="6" t="str" cm="1">
        <f t="array" ref="AO139">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c r="AP139" s="12"/>
    </row>
    <row r="140" spans="1:42" ht="15" customHeight="1" x14ac:dyDescent="0.25">
      <c r="A140" s="11">
        <v>44872</v>
      </c>
      <c r="B140" s="2" t="s">
        <v>4</v>
      </c>
      <c r="C140" s="2">
        <f t="shared" si="4"/>
        <v>46</v>
      </c>
      <c r="D140" s="2">
        <f>MATCH(Data_Table[[#This Row],[Week]],_xlfn._xlws.SORT(_xlfn.UNIQUE(Data_Table[Week]),1,-1),0)</f>
        <v>2</v>
      </c>
      <c r="E140" s="2" t="str">
        <f>TEXT(Data_Table[[#This Row],[Date of the Ticket for Review]],"mmm")</f>
        <v>Nov</v>
      </c>
      <c r="F140" s="9">
        <v>883821</v>
      </c>
      <c r="G140" s="9" t="str">
        <f>VLOOKUP(F140,Agent_Table[],2,FALSE)</f>
        <v>Rupesh Vaswani</v>
      </c>
      <c r="H140" s="9" t="str">
        <f>IFERROR(VLOOKUP(Data_Table[[#This Row],[Ticket ID]],Product_Table[],2,FALSE),"")</f>
        <v>Platforms &amp; API</v>
      </c>
      <c r="I140" s="4" t="s">
        <v>2</v>
      </c>
      <c r="J140" s="9">
        <v>3</v>
      </c>
      <c r="K140" s="9">
        <v>3</v>
      </c>
      <c r="L140" s="9">
        <v>3</v>
      </c>
      <c r="M140" s="9">
        <v>3</v>
      </c>
      <c r="N140" s="9">
        <v>3</v>
      </c>
      <c r="O140" s="9">
        <v>3</v>
      </c>
      <c r="P140" s="9">
        <v>3</v>
      </c>
      <c r="Q140" s="9">
        <v>3</v>
      </c>
      <c r="R140" s="6" t="s">
        <v>3</v>
      </c>
      <c r="S140" s="6" t="str">
        <f>IF(MIN(Data_Table[[#This Row],[Grammar &amp; Syntax ]:[Quality of First Response]])&lt;=1,"Fail",IF(MIN(Data_Table[[#This Row],[Grammar &amp; Syntax ]:[Quality of First Response]])=2,"Neutral","Pass"))</f>
        <v>Pass</v>
      </c>
      <c r="T140" s="6" t="str">
        <f>IF(MIN(Data_Table[[#This Row],[Grammar &amp; Syntax ]:[Quality of First Response]])&lt;=1,"Fail",IF(MIN(Data_Table[[#This Row],[Grammar &amp; Syntax ]:[Quality of First Response]])=2,"Pass","Pass"))</f>
        <v>Pass</v>
      </c>
      <c r="U140" s="6">
        <f>IF(Data_Table[[#This Row],[Compliance Critical PF]]="Fail",1,0)</f>
        <v>0</v>
      </c>
      <c r="V140" s="6"/>
      <c r="W140" s="8">
        <v>3</v>
      </c>
      <c r="X140" s="8">
        <v>3</v>
      </c>
      <c r="Y140" s="8">
        <v>3</v>
      </c>
      <c r="Z140" s="8">
        <v>3</v>
      </c>
      <c r="AA140" s="1" t="s">
        <v>12</v>
      </c>
      <c r="AB140" s="8">
        <v>3</v>
      </c>
      <c r="AC140" s="8">
        <v>3</v>
      </c>
      <c r="AD140" s="8">
        <v>3</v>
      </c>
      <c r="AE140" s="1" t="s">
        <v>12</v>
      </c>
      <c r="AF140" s="7" t="s">
        <v>12</v>
      </c>
      <c r="AG140" s="7" t="str">
        <f>IF(MIN(Data_Table[[#This Row],[Priority Level]:[Effective escalation ]])&lt;=1,"Fail",IF(MIN(Data_Table[[#This Row],[Priority Level]:[Effective escalation ]])=2,"Neutral","Pass"))</f>
        <v>Pass</v>
      </c>
      <c r="AH140" s="2" t="str">
        <f>IF(MIN(Data_Table[[#This Row],[Priority Level]:[Effective escalation ]])&lt;=1,"Fail",IF(MIN(Data_Table[[#This Row],[Priority Level]:[Effective escalation ]])=2,"Pass","Pass"))</f>
        <v>Pass</v>
      </c>
      <c r="AI140" s="2" t="str">
        <f>IF(Data_Table[[#This Row],[Business Critical PF]]="Fail",1,"")</f>
        <v/>
      </c>
      <c r="AJ140" s="6"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140" s="6" t="str">
        <f>IF(MIN(Data_Table[[#This Row],[Grammar &amp; Syntax ]:[Quality of First Response]],Data_Table[[#This Row],[Priority Level]:[Effective escalation ]])&lt;=1,"Fail",IF(MIN(Data_Table[[#This Row],[Grammar &amp; Syntax ]:[Quality of First Response]],Data_Table[[#This Row],[Priority Level]:[Effective escalation ]])=2,"Pass","Pass"))</f>
        <v>Pass</v>
      </c>
      <c r="AL140" s="6" t="str">
        <f>IF(Data_Table[[#This Row],[Attribute Fail Rate PF]]="Fail",1,"")</f>
        <v/>
      </c>
      <c r="AM140" s="6">
        <f>1</f>
        <v>1</v>
      </c>
      <c r="AN140" s="6" t="str">
        <f>IF(Data_Table[[#This Row],[Attribute Fail Rate PF]]="Fail",Data_Table[[#This Row],[Ticket ID]],"")</f>
        <v/>
      </c>
      <c r="AO140" s="6" t="str" cm="1">
        <f t="array" ref="AO140">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c r="AP140" s="12"/>
    </row>
    <row r="141" spans="1:42" ht="15" customHeight="1" x14ac:dyDescent="0.25">
      <c r="A141" s="11">
        <v>44873</v>
      </c>
      <c r="B141" s="2" t="s">
        <v>4</v>
      </c>
      <c r="C141" s="2">
        <f t="shared" si="4"/>
        <v>46</v>
      </c>
      <c r="D141" s="2">
        <f>MATCH(Data_Table[[#This Row],[Week]],_xlfn._xlws.SORT(_xlfn.UNIQUE(Data_Table[Week]),1,-1),0)</f>
        <v>2</v>
      </c>
      <c r="E141" s="2" t="str">
        <f>TEXT(Data_Table[[#This Row],[Date of the Ticket for Review]],"mmm")</f>
        <v>Nov</v>
      </c>
      <c r="F141" s="9">
        <v>886106</v>
      </c>
      <c r="G141" s="9" t="str">
        <f>VLOOKUP(F141,Agent_Table[],2,FALSE)</f>
        <v>Islam Ghiboub</v>
      </c>
      <c r="H141" s="9" t="str">
        <f>IFERROR(VLOOKUP(Data_Table[[#This Row],[Ticket ID]],Product_Table[],2,FALSE),"")</f>
        <v>Measurement</v>
      </c>
      <c r="I141" s="4" t="s">
        <v>2</v>
      </c>
      <c r="J141" s="9">
        <v>3</v>
      </c>
      <c r="K141" s="9">
        <v>3</v>
      </c>
      <c r="L141" s="9">
        <v>3</v>
      </c>
      <c r="M141" s="9">
        <v>3</v>
      </c>
      <c r="N141" s="9">
        <v>3</v>
      </c>
      <c r="O141" s="9">
        <v>3</v>
      </c>
      <c r="P141" s="9">
        <v>3</v>
      </c>
      <c r="Q141" s="9">
        <v>3</v>
      </c>
      <c r="R141" s="6" t="s">
        <v>3</v>
      </c>
      <c r="S141" s="6" t="str">
        <f>IF(MIN(Data_Table[[#This Row],[Grammar &amp; Syntax ]:[Quality of First Response]])&lt;=1,"Fail",IF(MIN(Data_Table[[#This Row],[Grammar &amp; Syntax ]:[Quality of First Response]])=2,"Neutral","Pass"))</f>
        <v>Pass</v>
      </c>
      <c r="T141" s="6" t="str">
        <f>IF(MIN(Data_Table[[#This Row],[Grammar &amp; Syntax ]:[Quality of First Response]])&lt;=1,"Fail",IF(MIN(Data_Table[[#This Row],[Grammar &amp; Syntax ]:[Quality of First Response]])=2,"Pass","Pass"))</f>
        <v>Pass</v>
      </c>
      <c r="U141" s="6">
        <f>IF(Data_Table[[#This Row],[Compliance Critical PF]]="Fail",1,0)</f>
        <v>0</v>
      </c>
      <c r="V141" s="6"/>
      <c r="W141" s="8">
        <v>3</v>
      </c>
      <c r="X141" s="8">
        <v>3</v>
      </c>
      <c r="Y141" s="8">
        <v>3</v>
      </c>
      <c r="Z141" s="8">
        <v>3</v>
      </c>
      <c r="AA141" s="1" t="s">
        <v>12</v>
      </c>
      <c r="AB141" s="8">
        <v>3</v>
      </c>
      <c r="AC141" s="8">
        <v>3</v>
      </c>
      <c r="AD141" s="8">
        <v>3</v>
      </c>
      <c r="AE141" s="1" t="s">
        <v>12</v>
      </c>
      <c r="AF141" s="7" t="s">
        <v>12</v>
      </c>
      <c r="AG141" s="7" t="str">
        <f>IF(MIN(Data_Table[[#This Row],[Priority Level]:[Effective escalation ]])&lt;=1,"Fail",IF(MIN(Data_Table[[#This Row],[Priority Level]:[Effective escalation ]])=2,"Neutral","Pass"))</f>
        <v>Pass</v>
      </c>
      <c r="AH141" s="2" t="str">
        <f>IF(MIN(Data_Table[[#This Row],[Priority Level]:[Effective escalation ]])&lt;=1,"Fail",IF(MIN(Data_Table[[#This Row],[Priority Level]:[Effective escalation ]])=2,"Pass","Pass"))</f>
        <v>Pass</v>
      </c>
      <c r="AI141" s="2" t="str">
        <f>IF(Data_Table[[#This Row],[Business Critical PF]]="Fail",1,"")</f>
        <v/>
      </c>
      <c r="AJ141" s="6"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141" s="6" t="str">
        <f>IF(MIN(Data_Table[[#This Row],[Grammar &amp; Syntax ]:[Quality of First Response]],Data_Table[[#This Row],[Priority Level]:[Effective escalation ]])&lt;=1,"Fail",IF(MIN(Data_Table[[#This Row],[Grammar &amp; Syntax ]:[Quality of First Response]],Data_Table[[#This Row],[Priority Level]:[Effective escalation ]])=2,"Pass","Pass"))</f>
        <v>Pass</v>
      </c>
      <c r="AL141" s="6" t="str">
        <f>IF(Data_Table[[#This Row],[Attribute Fail Rate PF]]="Fail",1,"")</f>
        <v/>
      </c>
      <c r="AM141" s="6">
        <f>1</f>
        <v>1</v>
      </c>
      <c r="AN141" s="6" t="str">
        <f>IF(Data_Table[[#This Row],[Attribute Fail Rate PF]]="Fail",Data_Table[[#This Row],[Ticket ID]],"")</f>
        <v/>
      </c>
      <c r="AO141" s="6" t="str" cm="1">
        <f t="array" ref="AO141">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c r="AP141" s="12"/>
    </row>
    <row r="142" spans="1:42" ht="15" customHeight="1" x14ac:dyDescent="0.25">
      <c r="A142" s="11">
        <v>44872</v>
      </c>
      <c r="B142" s="2" t="s">
        <v>4</v>
      </c>
      <c r="C142" s="2">
        <f t="shared" si="4"/>
        <v>46</v>
      </c>
      <c r="D142" s="2">
        <f>MATCH(Data_Table[[#This Row],[Week]],_xlfn._xlws.SORT(_xlfn.UNIQUE(Data_Table[Week]),1,-1),0)</f>
        <v>2</v>
      </c>
      <c r="E142" s="2" t="str">
        <f>TEXT(Data_Table[[#This Row],[Date of the Ticket for Review]],"mmm")</f>
        <v>Nov</v>
      </c>
      <c r="F142" s="9">
        <v>884002</v>
      </c>
      <c r="G142" s="9" t="str">
        <f>VLOOKUP(F142,Agent_Table[],2,FALSE)</f>
        <v>Islam Ghiboub</v>
      </c>
      <c r="H142" s="9" t="str">
        <f>IFERROR(VLOOKUP(Data_Table[[#This Row],[Ticket ID]],Product_Table[],2,FALSE),"")</f>
        <v>Native Branding Ads</v>
      </c>
      <c r="I142" s="4" t="s">
        <v>2</v>
      </c>
      <c r="J142" s="9">
        <v>3</v>
      </c>
      <c r="K142" s="9">
        <v>3</v>
      </c>
      <c r="L142" s="9">
        <v>3</v>
      </c>
      <c r="M142" s="9">
        <v>3</v>
      </c>
      <c r="N142" s="9">
        <v>3</v>
      </c>
      <c r="O142" s="9">
        <v>3</v>
      </c>
      <c r="P142" s="9">
        <v>3</v>
      </c>
      <c r="Q142" s="9">
        <v>3</v>
      </c>
      <c r="R142" s="6" t="s">
        <v>3</v>
      </c>
      <c r="S142" s="6" t="str">
        <f>IF(MIN(Data_Table[[#This Row],[Grammar &amp; Syntax ]:[Quality of First Response]])&lt;=1,"Fail",IF(MIN(Data_Table[[#This Row],[Grammar &amp; Syntax ]:[Quality of First Response]])=2,"Neutral","Pass"))</f>
        <v>Pass</v>
      </c>
      <c r="T142" s="6" t="str">
        <f>IF(MIN(Data_Table[[#This Row],[Grammar &amp; Syntax ]:[Quality of First Response]])&lt;=1,"Fail",IF(MIN(Data_Table[[#This Row],[Grammar &amp; Syntax ]:[Quality of First Response]])=2,"Pass","Pass"))</f>
        <v>Pass</v>
      </c>
      <c r="U142" s="6">
        <f>IF(Data_Table[[#This Row],[Compliance Critical PF]]="Fail",1,0)</f>
        <v>0</v>
      </c>
      <c r="V142" s="6"/>
      <c r="W142" s="8">
        <v>3</v>
      </c>
      <c r="X142" s="8">
        <v>3</v>
      </c>
      <c r="Y142" s="8">
        <v>3</v>
      </c>
      <c r="Z142" s="8">
        <v>3</v>
      </c>
      <c r="AA142" s="1" t="s">
        <v>12</v>
      </c>
      <c r="AB142" s="8">
        <v>3</v>
      </c>
      <c r="AC142" s="8">
        <v>3</v>
      </c>
      <c r="AD142" s="8">
        <v>3</v>
      </c>
      <c r="AE142" s="1" t="s">
        <v>12</v>
      </c>
      <c r="AF142" s="7" t="s">
        <v>12</v>
      </c>
      <c r="AG142" s="7" t="str">
        <f>IF(MIN(Data_Table[[#This Row],[Priority Level]:[Effective escalation ]])&lt;=1,"Fail",IF(MIN(Data_Table[[#This Row],[Priority Level]:[Effective escalation ]])=2,"Neutral","Pass"))</f>
        <v>Pass</v>
      </c>
      <c r="AH142" s="2" t="str">
        <f>IF(MIN(Data_Table[[#This Row],[Priority Level]:[Effective escalation ]])&lt;=1,"Fail",IF(MIN(Data_Table[[#This Row],[Priority Level]:[Effective escalation ]])=2,"Pass","Pass"))</f>
        <v>Pass</v>
      </c>
      <c r="AI142" s="2" t="str">
        <f>IF(Data_Table[[#This Row],[Business Critical PF]]="Fail",1,"")</f>
        <v/>
      </c>
      <c r="AJ142" s="6"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142" s="6" t="str">
        <f>IF(MIN(Data_Table[[#This Row],[Grammar &amp; Syntax ]:[Quality of First Response]],Data_Table[[#This Row],[Priority Level]:[Effective escalation ]])&lt;=1,"Fail",IF(MIN(Data_Table[[#This Row],[Grammar &amp; Syntax ]:[Quality of First Response]],Data_Table[[#This Row],[Priority Level]:[Effective escalation ]])=2,"Pass","Pass"))</f>
        <v>Pass</v>
      </c>
      <c r="AL142" s="6" t="str">
        <f>IF(Data_Table[[#This Row],[Attribute Fail Rate PF]]="Fail",1,"")</f>
        <v/>
      </c>
      <c r="AM142" s="6">
        <f>1</f>
        <v>1</v>
      </c>
      <c r="AN142" s="6" t="str">
        <f>IF(Data_Table[[#This Row],[Attribute Fail Rate PF]]="Fail",Data_Table[[#This Row],[Ticket ID]],"")</f>
        <v/>
      </c>
      <c r="AO142" s="6" t="str" cm="1">
        <f t="array" ref="AO142">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c r="AP142" s="12"/>
    </row>
    <row r="143" spans="1:42" ht="15" customHeight="1" x14ac:dyDescent="0.25">
      <c r="A143" s="11">
        <v>44872</v>
      </c>
      <c r="B143" s="2" t="s">
        <v>4</v>
      </c>
      <c r="C143" s="2">
        <f t="shared" si="4"/>
        <v>46</v>
      </c>
      <c r="D143" s="2">
        <f>MATCH(Data_Table[[#This Row],[Week]],_xlfn._xlws.SORT(_xlfn.UNIQUE(Data_Table[Week]),1,-1),0)</f>
        <v>2</v>
      </c>
      <c r="E143" s="2" t="str">
        <f>TEXT(Data_Table[[#This Row],[Date of the Ticket for Review]],"mmm")</f>
        <v>Nov</v>
      </c>
      <c r="F143" s="9">
        <v>883686</v>
      </c>
      <c r="G143" s="9" t="str">
        <f>VLOOKUP(F143,Agent_Table[],2,FALSE)</f>
        <v>Aldrin Sneha Priyanka</v>
      </c>
      <c r="H143" s="9" t="str">
        <f>IFERROR(VLOOKUP(Data_Table[[#This Row],[Ticket ID]],Product_Table[],2,FALSE),"")</f>
        <v>Performance &amp; Delivery</v>
      </c>
      <c r="I143" s="4" t="s">
        <v>7</v>
      </c>
      <c r="J143" s="9">
        <v>3</v>
      </c>
      <c r="K143" s="9">
        <v>3</v>
      </c>
      <c r="L143" s="9">
        <v>3</v>
      </c>
      <c r="M143" s="9">
        <v>3</v>
      </c>
      <c r="N143" s="9">
        <v>3</v>
      </c>
      <c r="O143" s="9">
        <v>3</v>
      </c>
      <c r="P143" s="9">
        <v>3</v>
      </c>
      <c r="Q143" s="9">
        <v>3</v>
      </c>
      <c r="R143" s="6" t="s">
        <v>3</v>
      </c>
      <c r="S143" s="6" t="str">
        <f>IF(MIN(Data_Table[[#This Row],[Grammar &amp; Syntax ]:[Quality of First Response]])&lt;=1,"Fail",IF(MIN(Data_Table[[#This Row],[Grammar &amp; Syntax ]:[Quality of First Response]])=2,"Neutral","Pass"))</f>
        <v>Pass</v>
      </c>
      <c r="T143" s="6" t="str">
        <f>IF(MIN(Data_Table[[#This Row],[Grammar &amp; Syntax ]:[Quality of First Response]])&lt;=1,"Fail",IF(MIN(Data_Table[[#This Row],[Grammar &amp; Syntax ]:[Quality of First Response]])=2,"Pass","Pass"))</f>
        <v>Pass</v>
      </c>
      <c r="U143" s="6">
        <f>IF(Data_Table[[#This Row],[Compliance Critical PF]]="Fail",1,0)</f>
        <v>0</v>
      </c>
      <c r="V143" s="6"/>
      <c r="W143" s="8">
        <v>3</v>
      </c>
      <c r="X143" s="8">
        <v>3</v>
      </c>
      <c r="Y143" s="8">
        <v>3</v>
      </c>
      <c r="Z143" s="8">
        <v>3</v>
      </c>
      <c r="AA143" s="1" t="s">
        <v>12</v>
      </c>
      <c r="AB143" s="8">
        <v>3</v>
      </c>
      <c r="AC143" s="8">
        <v>3</v>
      </c>
      <c r="AD143" s="8">
        <v>3</v>
      </c>
      <c r="AE143" s="1" t="s">
        <v>12</v>
      </c>
      <c r="AF143" s="7" t="s">
        <v>12</v>
      </c>
      <c r="AG143" s="7" t="str">
        <f>IF(MIN(Data_Table[[#This Row],[Priority Level]:[Effective escalation ]])&lt;=1,"Fail",IF(MIN(Data_Table[[#This Row],[Priority Level]:[Effective escalation ]])=2,"Neutral","Pass"))</f>
        <v>Pass</v>
      </c>
      <c r="AH143" s="2" t="str">
        <f>IF(MIN(Data_Table[[#This Row],[Priority Level]:[Effective escalation ]])&lt;=1,"Fail",IF(MIN(Data_Table[[#This Row],[Priority Level]:[Effective escalation ]])=2,"Pass","Pass"))</f>
        <v>Pass</v>
      </c>
      <c r="AI143" s="2" t="str">
        <f>IF(Data_Table[[#This Row],[Business Critical PF]]="Fail",1,"")</f>
        <v/>
      </c>
      <c r="AJ143" s="6"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143" s="6" t="str">
        <f>IF(MIN(Data_Table[[#This Row],[Grammar &amp; Syntax ]:[Quality of First Response]],Data_Table[[#This Row],[Priority Level]:[Effective escalation ]])&lt;=1,"Fail",IF(MIN(Data_Table[[#This Row],[Grammar &amp; Syntax ]:[Quality of First Response]],Data_Table[[#This Row],[Priority Level]:[Effective escalation ]])=2,"Pass","Pass"))</f>
        <v>Pass</v>
      </c>
      <c r="AL143" s="6" t="str">
        <f>IF(Data_Table[[#This Row],[Attribute Fail Rate PF]]="Fail",1,"")</f>
        <v/>
      </c>
      <c r="AM143" s="6">
        <f>1</f>
        <v>1</v>
      </c>
      <c r="AN143" s="6" t="str">
        <f>IF(Data_Table[[#This Row],[Attribute Fail Rate PF]]="Fail",Data_Table[[#This Row],[Ticket ID]],"")</f>
        <v/>
      </c>
      <c r="AO143" s="6" t="str" cm="1">
        <f t="array" ref="AO143">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c r="AP143" s="12"/>
    </row>
    <row r="144" spans="1:42" ht="15" customHeight="1" x14ac:dyDescent="0.25">
      <c r="A144" s="11">
        <v>44876</v>
      </c>
      <c r="B144" s="2" t="s">
        <v>4</v>
      </c>
      <c r="C144" s="2">
        <f t="shared" si="4"/>
        <v>46</v>
      </c>
      <c r="D144" s="2">
        <f>MATCH(Data_Table[[#This Row],[Week]],_xlfn._xlws.SORT(_xlfn.UNIQUE(Data_Table[Week]),1,-1),0)</f>
        <v>2</v>
      </c>
      <c r="E144" s="2" t="str">
        <f>TEXT(Data_Table[[#This Row],[Date of the Ticket for Review]],"mmm")</f>
        <v>Nov</v>
      </c>
      <c r="F144" s="9">
        <v>890887</v>
      </c>
      <c r="G144" s="9" t="str">
        <f>VLOOKUP(F144,Agent_Table[],2,FALSE)</f>
        <v>Aldrin Sneha Priyanka</v>
      </c>
      <c r="H144" s="9" t="str">
        <f>IFERROR(VLOOKUP(Data_Table[[#This Row],[Ticket ID]],Product_Table[],2,FALSE),"")</f>
        <v>Measurement</v>
      </c>
      <c r="I144" s="4" t="s">
        <v>2</v>
      </c>
      <c r="J144" s="9">
        <v>3</v>
      </c>
      <c r="K144" s="9">
        <v>3</v>
      </c>
      <c r="L144" s="9">
        <v>3</v>
      </c>
      <c r="M144" s="9">
        <v>3</v>
      </c>
      <c r="N144" s="9">
        <v>3</v>
      </c>
      <c r="O144" s="9">
        <v>3</v>
      </c>
      <c r="P144" s="9">
        <v>3</v>
      </c>
      <c r="Q144" s="9">
        <v>3</v>
      </c>
      <c r="R144" s="6" t="s">
        <v>3</v>
      </c>
      <c r="S144" s="6" t="str">
        <f>IF(MIN(Data_Table[[#This Row],[Grammar &amp; Syntax ]:[Quality of First Response]])&lt;=1,"Fail",IF(MIN(Data_Table[[#This Row],[Grammar &amp; Syntax ]:[Quality of First Response]])=2,"Neutral","Pass"))</f>
        <v>Pass</v>
      </c>
      <c r="T144" s="6" t="str">
        <f>IF(MIN(Data_Table[[#This Row],[Grammar &amp; Syntax ]:[Quality of First Response]])&lt;=1,"Fail",IF(MIN(Data_Table[[#This Row],[Grammar &amp; Syntax ]:[Quality of First Response]])=2,"Pass","Pass"))</f>
        <v>Pass</v>
      </c>
      <c r="U144" s="6">
        <f>IF(Data_Table[[#This Row],[Compliance Critical PF]]="Fail",1,0)</f>
        <v>0</v>
      </c>
      <c r="V144" s="6"/>
      <c r="W144" s="8">
        <v>3</v>
      </c>
      <c r="X144" s="8">
        <v>3</v>
      </c>
      <c r="Y144" s="8">
        <v>3</v>
      </c>
      <c r="Z144" s="8">
        <v>3</v>
      </c>
      <c r="AA144" s="8">
        <v>3</v>
      </c>
      <c r="AB144" s="8">
        <v>3</v>
      </c>
      <c r="AC144" s="8">
        <v>3</v>
      </c>
      <c r="AD144" s="8">
        <v>3</v>
      </c>
      <c r="AE144" s="8">
        <v>3</v>
      </c>
      <c r="AF144" s="7" t="s">
        <v>12</v>
      </c>
      <c r="AG144" s="7" t="str">
        <f>IF(MIN(Data_Table[[#This Row],[Priority Level]:[Effective escalation ]])&lt;=1,"Fail",IF(MIN(Data_Table[[#This Row],[Priority Level]:[Effective escalation ]])=2,"Neutral","Pass"))</f>
        <v>Pass</v>
      </c>
      <c r="AH144" s="2" t="str">
        <f>IF(MIN(Data_Table[[#This Row],[Priority Level]:[Effective escalation ]])&lt;=1,"Fail",IF(MIN(Data_Table[[#This Row],[Priority Level]:[Effective escalation ]])=2,"Pass","Pass"))</f>
        <v>Pass</v>
      </c>
      <c r="AI144" s="2" t="str">
        <f>IF(Data_Table[[#This Row],[Business Critical PF]]="Fail",1,"")</f>
        <v/>
      </c>
      <c r="AJ144" s="6"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144" s="6" t="str">
        <f>IF(MIN(Data_Table[[#This Row],[Grammar &amp; Syntax ]:[Quality of First Response]],Data_Table[[#This Row],[Priority Level]:[Effective escalation ]])&lt;=1,"Fail",IF(MIN(Data_Table[[#This Row],[Grammar &amp; Syntax ]:[Quality of First Response]],Data_Table[[#This Row],[Priority Level]:[Effective escalation ]])=2,"Pass","Pass"))</f>
        <v>Pass</v>
      </c>
      <c r="AL144" s="6" t="str">
        <f>IF(Data_Table[[#This Row],[Attribute Fail Rate PF]]="Fail",1,"")</f>
        <v/>
      </c>
      <c r="AM144" s="6">
        <f>1</f>
        <v>1</v>
      </c>
      <c r="AN144" s="6" t="str">
        <f>IF(Data_Table[[#This Row],[Attribute Fail Rate PF]]="Fail",Data_Table[[#This Row],[Ticket ID]],"")</f>
        <v/>
      </c>
      <c r="AO144" s="6" t="str" cm="1">
        <f t="array" ref="AO144">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c r="AP144" s="12"/>
    </row>
    <row r="145" spans="1:42" ht="15" customHeight="1" x14ac:dyDescent="0.25">
      <c r="A145" s="11">
        <v>44875</v>
      </c>
      <c r="B145" s="2" t="s">
        <v>8</v>
      </c>
      <c r="C145" s="2">
        <f t="shared" si="4"/>
        <v>46</v>
      </c>
      <c r="D145" s="2">
        <f>MATCH(Data_Table[[#This Row],[Week]],_xlfn._xlws.SORT(_xlfn.UNIQUE(Data_Table[Week]),1,-1),0)</f>
        <v>2</v>
      </c>
      <c r="E145" s="2" t="str">
        <f>TEXT(Data_Table[[#This Row],[Date of the Ticket for Review]],"mmm")</f>
        <v>Nov</v>
      </c>
      <c r="F145" s="9">
        <v>888822</v>
      </c>
      <c r="G145" s="9" t="str">
        <f>VLOOKUP(F145,Agent_Table[],2,FALSE)</f>
        <v>Angelina Voon Suk Yung</v>
      </c>
      <c r="H145" s="9" t="str">
        <f>IFERROR(VLOOKUP(Data_Table[[#This Row],[Ticket ID]],Product_Table[],2,FALSE),"")</f>
        <v>Measurement</v>
      </c>
      <c r="I145" s="4" t="s">
        <v>2</v>
      </c>
      <c r="J145" s="9">
        <v>3</v>
      </c>
      <c r="K145" s="9">
        <v>3</v>
      </c>
      <c r="L145" s="9">
        <v>3</v>
      </c>
      <c r="M145" s="9">
        <v>3</v>
      </c>
      <c r="N145" s="9">
        <v>3</v>
      </c>
      <c r="O145" s="9">
        <v>3</v>
      </c>
      <c r="P145" s="9">
        <v>3</v>
      </c>
      <c r="Q145" s="9">
        <v>3</v>
      </c>
      <c r="R145" s="6" t="s">
        <v>3</v>
      </c>
      <c r="S145" s="6" t="str">
        <f>IF(MIN(Data_Table[[#This Row],[Grammar &amp; Syntax ]:[Quality of First Response]])&lt;=1,"Fail",IF(MIN(Data_Table[[#This Row],[Grammar &amp; Syntax ]:[Quality of First Response]])=2,"Neutral","Pass"))</f>
        <v>Pass</v>
      </c>
      <c r="T145" s="6" t="str">
        <f>IF(MIN(Data_Table[[#This Row],[Grammar &amp; Syntax ]:[Quality of First Response]])&lt;=1,"Fail",IF(MIN(Data_Table[[#This Row],[Grammar &amp; Syntax ]:[Quality of First Response]])=2,"Pass","Pass"))</f>
        <v>Pass</v>
      </c>
      <c r="U145" s="6">
        <f>IF(Data_Table[[#This Row],[Compliance Critical PF]]="Fail",1,0)</f>
        <v>0</v>
      </c>
      <c r="V145" s="6"/>
      <c r="W145" s="8">
        <v>3</v>
      </c>
      <c r="X145" s="8">
        <v>3</v>
      </c>
      <c r="Y145" s="8">
        <v>3</v>
      </c>
      <c r="Z145" s="8">
        <v>3</v>
      </c>
      <c r="AA145" s="1" t="s">
        <v>12</v>
      </c>
      <c r="AB145" s="8">
        <v>3</v>
      </c>
      <c r="AC145" s="8">
        <v>3</v>
      </c>
      <c r="AD145" s="8">
        <v>3</v>
      </c>
      <c r="AE145" s="1" t="s">
        <v>12</v>
      </c>
      <c r="AF145" s="7" t="s">
        <v>12</v>
      </c>
      <c r="AG145" s="7" t="str">
        <f>IF(MIN(Data_Table[[#This Row],[Priority Level]:[Effective escalation ]])&lt;=1,"Fail",IF(MIN(Data_Table[[#This Row],[Priority Level]:[Effective escalation ]])=2,"Neutral","Pass"))</f>
        <v>Pass</v>
      </c>
      <c r="AH145" s="2" t="str">
        <f>IF(MIN(Data_Table[[#This Row],[Priority Level]:[Effective escalation ]])&lt;=1,"Fail",IF(MIN(Data_Table[[#This Row],[Priority Level]:[Effective escalation ]])=2,"Pass","Pass"))</f>
        <v>Pass</v>
      </c>
      <c r="AI145" s="2" t="str">
        <f>IF(Data_Table[[#This Row],[Business Critical PF]]="Fail",1,"")</f>
        <v/>
      </c>
      <c r="AJ145" s="6"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145" s="6" t="str">
        <f>IF(MIN(Data_Table[[#This Row],[Grammar &amp; Syntax ]:[Quality of First Response]],Data_Table[[#This Row],[Priority Level]:[Effective escalation ]])&lt;=1,"Fail",IF(MIN(Data_Table[[#This Row],[Grammar &amp; Syntax ]:[Quality of First Response]],Data_Table[[#This Row],[Priority Level]:[Effective escalation ]])=2,"Pass","Pass"))</f>
        <v>Pass</v>
      </c>
      <c r="AL145" s="6" t="str">
        <f>IF(Data_Table[[#This Row],[Attribute Fail Rate PF]]="Fail",1,"")</f>
        <v/>
      </c>
      <c r="AM145" s="6">
        <f>1</f>
        <v>1</v>
      </c>
      <c r="AN145" s="6" t="str">
        <f>IF(Data_Table[[#This Row],[Attribute Fail Rate PF]]="Fail",Data_Table[[#This Row],[Ticket ID]],"")</f>
        <v/>
      </c>
      <c r="AO145" s="6" t="str" cm="1">
        <f t="array" ref="AO145">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c r="AP145" s="12"/>
    </row>
    <row r="146" spans="1:42" ht="15" customHeight="1" x14ac:dyDescent="0.25">
      <c r="A146" s="11">
        <v>44873</v>
      </c>
      <c r="B146" s="2" t="s">
        <v>8</v>
      </c>
      <c r="C146" s="2">
        <f t="shared" si="4"/>
        <v>46</v>
      </c>
      <c r="D146" s="2">
        <f>MATCH(Data_Table[[#This Row],[Week]],_xlfn._xlws.SORT(_xlfn.UNIQUE(Data_Table[Week]),1,-1),0)</f>
        <v>2</v>
      </c>
      <c r="E146" s="2" t="str">
        <f>TEXT(Data_Table[[#This Row],[Date of the Ticket for Review]],"mmm")</f>
        <v>Nov</v>
      </c>
      <c r="F146" s="9">
        <v>885199</v>
      </c>
      <c r="G146" s="9" t="str">
        <f>VLOOKUP(F146,Agent_Table[],2,FALSE)</f>
        <v>Angelina Voon Suk Yung</v>
      </c>
      <c r="H146" s="9" t="str">
        <f>IFERROR(VLOOKUP(Data_Table[[#This Row],[Ticket ID]],Product_Table[],2,FALSE),"")</f>
        <v>Native Branding Ads</v>
      </c>
      <c r="I146" s="4" t="s">
        <v>2</v>
      </c>
      <c r="J146" s="9">
        <v>3</v>
      </c>
      <c r="K146" s="9">
        <v>3</v>
      </c>
      <c r="L146" s="9">
        <v>3</v>
      </c>
      <c r="M146" s="9">
        <v>3</v>
      </c>
      <c r="N146" s="9">
        <v>3</v>
      </c>
      <c r="O146" s="9">
        <v>3</v>
      </c>
      <c r="P146" s="9">
        <v>3</v>
      </c>
      <c r="Q146" s="9">
        <v>3</v>
      </c>
      <c r="R146" s="6" t="s">
        <v>3</v>
      </c>
      <c r="S146" s="6" t="str">
        <f>IF(MIN(Data_Table[[#This Row],[Grammar &amp; Syntax ]:[Quality of First Response]])&lt;=1,"Fail",IF(MIN(Data_Table[[#This Row],[Grammar &amp; Syntax ]:[Quality of First Response]])=2,"Neutral","Pass"))</f>
        <v>Pass</v>
      </c>
      <c r="T146" s="6" t="str">
        <f>IF(MIN(Data_Table[[#This Row],[Grammar &amp; Syntax ]:[Quality of First Response]])&lt;=1,"Fail",IF(MIN(Data_Table[[#This Row],[Grammar &amp; Syntax ]:[Quality of First Response]])=2,"Pass","Pass"))</f>
        <v>Pass</v>
      </c>
      <c r="U146" s="6">
        <f>IF(Data_Table[[#This Row],[Compliance Critical PF]]="Fail",1,0)</f>
        <v>0</v>
      </c>
      <c r="V146" s="6"/>
      <c r="W146" s="8">
        <v>3</v>
      </c>
      <c r="X146" s="8">
        <v>3</v>
      </c>
      <c r="Y146" s="8">
        <v>3</v>
      </c>
      <c r="Z146" s="8">
        <v>3</v>
      </c>
      <c r="AA146" s="1" t="s">
        <v>12</v>
      </c>
      <c r="AB146" s="8">
        <v>3</v>
      </c>
      <c r="AC146" s="8">
        <v>3</v>
      </c>
      <c r="AD146" s="8">
        <v>3</v>
      </c>
      <c r="AE146" s="1" t="s">
        <v>12</v>
      </c>
      <c r="AF146" s="7" t="s">
        <v>12</v>
      </c>
      <c r="AG146" s="7" t="str">
        <f>IF(MIN(Data_Table[[#This Row],[Priority Level]:[Effective escalation ]])&lt;=1,"Fail",IF(MIN(Data_Table[[#This Row],[Priority Level]:[Effective escalation ]])=2,"Neutral","Pass"))</f>
        <v>Pass</v>
      </c>
      <c r="AH146" s="2" t="str">
        <f>IF(MIN(Data_Table[[#This Row],[Priority Level]:[Effective escalation ]])&lt;=1,"Fail",IF(MIN(Data_Table[[#This Row],[Priority Level]:[Effective escalation ]])=2,"Pass","Pass"))</f>
        <v>Pass</v>
      </c>
      <c r="AI146" s="2" t="str">
        <f>IF(Data_Table[[#This Row],[Business Critical PF]]="Fail",1,"")</f>
        <v/>
      </c>
      <c r="AJ146" s="6"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146" s="6" t="str">
        <f>IF(MIN(Data_Table[[#This Row],[Grammar &amp; Syntax ]:[Quality of First Response]],Data_Table[[#This Row],[Priority Level]:[Effective escalation ]])&lt;=1,"Fail",IF(MIN(Data_Table[[#This Row],[Grammar &amp; Syntax ]:[Quality of First Response]],Data_Table[[#This Row],[Priority Level]:[Effective escalation ]])=2,"Pass","Pass"))</f>
        <v>Pass</v>
      </c>
      <c r="AL146" s="6" t="str">
        <f>IF(Data_Table[[#This Row],[Attribute Fail Rate PF]]="Fail",1,"")</f>
        <v/>
      </c>
      <c r="AM146" s="6">
        <f>1</f>
        <v>1</v>
      </c>
      <c r="AN146" s="6" t="str">
        <f>IF(Data_Table[[#This Row],[Attribute Fail Rate PF]]="Fail",Data_Table[[#This Row],[Ticket ID]],"")</f>
        <v/>
      </c>
      <c r="AO146" s="6" t="str" cm="1">
        <f t="array" ref="AO146">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c r="AP146" s="12"/>
    </row>
    <row r="147" spans="1:42" ht="15" customHeight="1" x14ac:dyDescent="0.25">
      <c r="A147" s="11">
        <v>44875</v>
      </c>
      <c r="B147" s="2" t="s">
        <v>8</v>
      </c>
      <c r="C147" s="2">
        <f t="shared" si="4"/>
        <v>46</v>
      </c>
      <c r="D147" s="2">
        <f>MATCH(Data_Table[[#This Row],[Week]],_xlfn._xlws.SORT(_xlfn.UNIQUE(Data_Table[Week]),1,-1),0)</f>
        <v>2</v>
      </c>
      <c r="E147" s="2" t="str">
        <f>TEXT(Data_Table[[#This Row],[Date of the Ticket for Review]],"mmm")</f>
        <v>Nov</v>
      </c>
      <c r="F147" s="9">
        <v>888199</v>
      </c>
      <c r="G147" s="9" t="str">
        <f>VLOOKUP(F147,Agent_Table[],2,FALSE)</f>
        <v>Tran Thi Thao Trinh (Liz)</v>
      </c>
      <c r="H147" s="9" t="str">
        <f>IFERROR(VLOOKUP(Data_Table[[#This Row],[Ticket ID]],Product_Table[],2,FALSE),"")</f>
        <v>Platforms &amp; API</v>
      </c>
      <c r="I147" s="4" t="s">
        <v>2</v>
      </c>
      <c r="J147" s="9">
        <v>3</v>
      </c>
      <c r="K147" s="9">
        <v>3</v>
      </c>
      <c r="L147" s="9">
        <v>3</v>
      </c>
      <c r="M147" s="9">
        <v>3</v>
      </c>
      <c r="N147" s="9">
        <v>3</v>
      </c>
      <c r="O147" s="9">
        <v>3</v>
      </c>
      <c r="P147" s="9">
        <v>3</v>
      </c>
      <c r="Q147" s="9">
        <v>3</v>
      </c>
      <c r="R147" s="6" t="s">
        <v>3</v>
      </c>
      <c r="S147" s="6" t="str">
        <f>IF(MIN(Data_Table[[#This Row],[Grammar &amp; Syntax ]:[Quality of First Response]])&lt;=1,"Fail",IF(MIN(Data_Table[[#This Row],[Grammar &amp; Syntax ]:[Quality of First Response]])=2,"Neutral","Pass"))</f>
        <v>Pass</v>
      </c>
      <c r="T147" s="6" t="str">
        <f>IF(MIN(Data_Table[[#This Row],[Grammar &amp; Syntax ]:[Quality of First Response]])&lt;=1,"Fail",IF(MIN(Data_Table[[#This Row],[Grammar &amp; Syntax ]:[Quality of First Response]])=2,"Pass","Pass"))</f>
        <v>Pass</v>
      </c>
      <c r="U147" s="6">
        <f>IF(Data_Table[[#This Row],[Compliance Critical PF]]="Fail",1,0)</f>
        <v>0</v>
      </c>
      <c r="V147" s="6"/>
      <c r="W147" s="8">
        <v>3</v>
      </c>
      <c r="X147" s="8">
        <v>3</v>
      </c>
      <c r="Y147" s="8">
        <v>3</v>
      </c>
      <c r="Z147" s="8">
        <v>3</v>
      </c>
      <c r="AA147" s="1" t="s">
        <v>12</v>
      </c>
      <c r="AB147" s="8">
        <v>3</v>
      </c>
      <c r="AC147" s="8">
        <v>3</v>
      </c>
      <c r="AD147" s="8">
        <v>3</v>
      </c>
      <c r="AE147" s="1" t="s">
        <v>12</v>
      </c>
      <c r="AF147" s="7" t="s">
        <v>12</v>
      </c>
      <c r="AG147" s="7" t="str">
        <f>IF(MIN(Data_Table[[#This Row],[Priority Level]:[Effective escalation ]])&lt;=1,"Fail",IF(MIN(Data_Table[[#This Row],[Priority Level]:[Effective escalation ]])=2,"Neutral","Pass"))</f>
        <v>Pass</v>
      </c>
      <c r="AH147" s="2" t="str">
        <f>IF(MIN(Data_Table[[#This Row],[Priority Level]:[Effective escalation ]])&lt;=1,"Fail",IF(MIN(Data_Table[[#This Row],[Priority Level]:[Effective escalation ]])=2,"Pass","Pass"))</f>
        <v>Pass</v>
      </c>
      <c r="AI147" s="2" t="str">
        <f>IF(Data_Table[[#This Row],[Business Critical PF]]="Fail",1,"")</f>
        <v/>
      </c>
      <c r="AJ147" s="6"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147" s="6" t="str">
        <f>IF(MIN(Data_Table[[#This Row],[Grammar &amp; Syntax ]:[Quality of First Response]],Data_Table[[#This Row],[Priority Level]:[Effective escalation ]])&lt;=1,"Fail",IF(MIN(Data_Table[[#This Row],[Grammar &amp; Syntax ]:[Quality of First Response]],Data_Table[[#This Row],[Priority Level]:[Effective escalation ]])=2,"Pass","Pass"))</f>
        <v>Pass</v>
      </c>
      <c r="AL147" s="6" t="str">
        <f>IF(Data_Table[[#This Row],[Attribute Fail Rate PF]]="Fail",1,"")</f>
        <v/>
      </c>
      <c r="AM147" s="6">
        <f>1</f>
        <v>1</v>
      </c>
      <c r="AN147" s="6" t="str">
        <f>IF(Data_Table[[#This Row],[Attribute Fail Rate PF]]="Fail",Data_Table[[#This Row],[Ticket ID]],"")</f>
        <v/>
      </c>
      <c r="AO147" s="6" t="str" cm="1">
        <f t="array" ref="AO147">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c r="AP147" s="12"/>
    </row>
    <row r="148" spans="1:42" ht="15" customHeight="1" x14ac:dyDescent="0.25">
      <c r="A148" s="11">
        <v>44874</v>
      </c>
      <c r="B148" s="2" t="s">
        <v>8</v>
      </c>
      <c r="C148" s="2">
        <f t="shared" si="4"/>
        <v>46</v>
      </c>
      <c r="D148" s="2">
        <f>MATCH(Data_Table[[#This Row],[Week]],_xlfn._xlws.SORT(_xlfn.UNIQUE(Data_Table[Week]),1,-1),0)</f>
        <v>2</v>
      </c>
      <c r="E148" s="2" t="str">
        <f>TEXT(Data_Table[[#This Row],[Date of the Ticket for Review]],"mmm")</f>
        <v>Nov</v>
      </c>
      <c r="F148" s="9">
        <v>886905</v>
      </c>
      <c r="G148" s="9" t="str">
        <f>VLOOKUP(F148,Agent_Table[],2,FALSE)</f>
        <v>Tran Thi Thao Trinh (Liz)</v>
      </c>
      <c r="H148" s="9" t="str">
        <f>IFERROR(VLOOKUP(Data_Table[[#This Row],[Ticket ID]],Product_Table[],2,FALSE),"")</f>
        <v>Native Branding Ads</v>
      </c>
      <c r="I148" s="4" t="s">
        <v>2</v>
      </c>
      <c r="J148" s="9">
        <v>3</v>
      </c>
      <c r="K148" s="9">
        <v>3</v>
      </c>
      <c r="L148" s="9">
        <v>3</v>
      </c>
      <c r="M148" s="9">
        <v>3</v>
      </c>
      <c r="N148" s="9">
        <v>3</v>
      </c>
      <c r="O148" s="9">
        <v>3</v>
      </c>
      <c r="P148" s="9">
        <v>3</v>
      </c>
      <c r="Q148" s="9">
        <v>3</v>
      </c>
      <c r="R148" s="6" t="s">
        <v>3</v>
      </c>
      <c r="S148" s="6" t="str">
        <f>IF(MIN(Data_Table[[#This Row],[Grammar &amp; Syntax ]:[Quality of First Response]])&lt;=1,"Fail",IF(MIN(Data_Table[[#This Row],[Grammar &amp; Syntax ]:[Quality of First Response]])=2,"Neutral","Pass"))</f>
        <v>Pass</v>
      </c>
      <c r="T148" s="6" t="str">
        <f>IF(MIN(Data_Table[[#This Row],[Grammar &amp; Syntax ]:[Quality of First Response]])&lt;=1,"Fail",IF(MIN(Data_Table[[#This Row],[Grammar &amp; Syntax ]:[Quality of First Response]])=2,"Pass","Pass"))</f>
        <v>Pass</v>
      </c>
      <c r="U148" s="6">
        <f>IF(Data_Table[[#This Row],[Compliance Critical PF]]="Fail",1,0)</f>
        <v>0</v>
      </c>
      <c r="V148" s="6"/>
      <c r="W148" s="8">
        <v>3</v>
      </c>
      <c r="X148" s="8">
        <v>3</v>
      </c>
      <c r="Y148" s="8">
        <v>3</v>
      </c>
      <c r="Z148" s="8">
        <v>3</v>
      </c>
      <c r="AA148" s="1" t="s">
        <v>12</v>
      </c>
      <c r="AB148" s="8">
        <v>3</v>
      </c>
      <c r="AC148" s="8">
        <v>3</v>
      </c>
      <c r="AD148" s="8">
        <v>3</v>
      </c>
      <c r="AE148" s="1" t="s">
        <v>12</v>
      </c>
      <c r="AF148" s="7" t="s">
        <v>12</v>
      </c>
      <c r="AG148" s="7" t="str">
        <f>IF(MIN(Data_Table[[#This Row],[Priority Level]:[Effective escalation ]])&lt;=1,"Fail",IF(MIN(Data_Table[[#This Row],[Priority Level]:[Effective escalation ]])=2,"Neutral","Pass"))</f>
        <v>Pass</v>
      </c>
      <c r="AH148" s="2" t="str">
        <f>IF(MIN(Data_Table[[#This Row],[Priority Level]:[Effective escalation ]])&lt;=1,"Fail",IF(MIN(Data_Table[[#This Row],[Priority Level]:[Effective escalation ]])=2,"Pass","Pass"))</f>
        <v>Pass</v>
      </c>
      <c r="AI148" s="2" t="str">
        <f>IF(Data_Table[[#This Row],[Business Critical PF]]="Fail",1,"")</f>
        <v/>
      </c>
      <c r="AJ148" s="6"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148" s="6" t="str">
        <f>IF(MIN(Data_Table[[#This Row],[Grammar &amp; Syntax ]:[Quality of First Response]],Data_Table[[#This Row],[Priority Level]:[Effective escalation ]])&lt;=1,"Fail",IF(MIN(Data_Table[[#This Row],[Grammar &amp; Syntax ]:[Quality of First Response]],Data_Table[[#This Row],[Priority Level]:[Effective escalation ]])=2,"Pass","Pass"))</f>
        <v>Pass</v>
      </c>
      <c r="AL148" s="6" t="str">
        <f>IF(Data_Table[[#This Row],[Attribute Fail Rate PF]]="Fail",1,"")</f>
        <v/>
      </c>
      <c r="AM148" s="6">
        <f>1</f>
        <v>1</v>
      </c>
      <c r="AN148" s="6" t="str">
        <f>IF(Data_Table[[#This Row],[Attribute Fail Rate PF]]="Fail",Data_Table[[#This Row],[Ticket ID]],"")</f>
        <v/>
      </c>
      <c r="AO148" s="6" t="str" cm="1">
        <f t="array" ref="AO148">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c r="AP148" s="12"/>
    </row>
    <row r="149" spans="1:42" ht="15" customHeight="1" x14ac:dyDescent="0.25">
      <c r="A149" s="11">
        <v>44874</v>
      </c>
      <c r="B149" s="2" t="s">
        <v>8</v>
      </c>
      <c r="C149" s="2">
        <f t="shared" si="4"/>
        <v>46</v>
      </c>
      <c r="D149" s="2">
        <f>MATCH(Data_Table[[#This Row],[Week]],_xlfn._xlws.SORT(_xlfn.UNIQUE(Data_Table[Week]),1,-1),0)</f>
        <v>2</v>
      </c>
      <c r="E149" s="2" t="str">
        <f>TEXT(Data_Table[[#This Row],[Date of the Ticket for Review]],"mmm")</f>
        <v>Nov</v>
      </c>
      <c r="F149" s="9">
        <v>887288</v>
      </c>
      <c r="G149" s="9" t="str">
        <f>VLOOKUP(F149,Agent_Table[],2,FALSE)</f>
        <v>Nuraini Hassan</v>
      </c>
      <c r="H149" s="9" t="str">
        <f>IFERROR(VLOOKUP(Data_Table[[#This Row],[Ticket ID]],Product_Table[],2,FALSE),"")</f>
        <v>Measurement</v>
      </c>
      <c r="I149" s="4" t="s">
        <v>2</v>
      </c>
      <c r="J149" s="9">
        <v>3</v>
      </c>
      <c r="K149" s="9">
        <v>3</v>
      </c>
      <c r="L149" s="9">
        <v>3</v>
      </c>
      <c r="M149" s="9">
        <v>3</v>
      </c>
      <c r="N149" s="9">
        <v>3</v>
      </c>
      <c r="O149" s="9">
        <v>3</v>
      </c>
      <c r="P149" s="9">
        <v>3</v>
      </c>
      <c r="Q149" s="9">
        <v>3</v>
      </c>
      <c r="R149" s="6" t="s">
        <v>3</v>
      </c>
      <c r="S149" s="6" t="str">
        <f>IF(MIN(Data_Table[[#This Row],[Grammar &amp; Syntax ]:[Quality of First Response]])&lt;=1,"Fail",IF(MIN(Data_Table[[#This Row],[Grammar &amp; Syntax ]:[Quality of First Response]])=2,"Neutral","Pass"))</f>
        <v>Pass</v>
      </c>
      <c r="T149" s="6" t="str">
        <f>IF(MIN(Data_Table[[#This Row],[Grammar &amp; Syntax ]:[Quality of First Response]])&lt;=1,"Fail",IF(MIN(Data_Table[[#This Row],[Grammar &amp; Syntax ]:[Quality of First Response]])=2,"Pass","Pass"))</f>
        <v>Pass</v>
      </c>
      <c r="U149" s="6">
        <f>IF(Data_Table[[#This Row],[Compliance Critical PF]]="Fail",1,0)</f>
        <v>0</v>
      </c>
      <c r="V149" s="6"/>
      <c r="W149" s="8">
        <v>3</v>
      </c>
      <c r="X149" s="8">
        <v>3</v>
      </c>
      <c r="Y149" s="8">
        <v>3</v>
      </c>
      <c r="Z149" s="8">
        <v>3</v>
      </c>
      <c r="AA149" s="1" t="s">
        <v>12</v>
      </c>
      <c r="AB149" s="8">
        <v>3</v>
      </c>
      <c r="AC149" s="8">
        <v>3</v>
      </c>
      <c r="AD149" s="8">
        <v>3</v>
      </c>
      <c r="AE149" s="1" t="s">
        <v>12</v>
      </c>
      <c r="AF149" s="7" t="s">
        <v>12</v>
      </c>
      <c r="AG149" s="7" t="str">
        <f>IF(MIN(Data_Table[[#This Row],[Priority Level]:[Effective escalation ]])&lt;=1,"Fail",IF(MIN(Data_Table[[#This Row],[Priority Level]:[Effective escalation ]])=2,"Neutral","Pass"))</f>
        <v>Pass</v>
      </c>
      <c r="AH149" s="2" t="str">
        <f>IF(MIN(Data_Table[[#This Row],[Priority Level]:[Effective escalation ]])&lt;=1,"Fail",IF(MIN(Data_Table[[#This Row],[Priority Level]:[Effective escalation ]])=2,"Pass","Pass"))</f>
        <v>Pass</v>
      </c>
      <c r="AI149" s="2" t="str">
        <f>IF(Data_Table[[#This Row],[Business Critical PF]]="Fail",1,"")</f>
        <v/>
      </c>
      <c r="AJ149" s="6"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149" s="6" t="str">
        <f>IF(MIN(Data_Table[[#This Row],[Grammar &amp; Syntax ]:[Quality of First Response]],Data_Table[[#This Row],[Priority Level]:[Effective escalation ]])&lt;=1,"Fail",IF(MIN(Data_Table[[#This Row],[Grammar &amp; Syntax ]:[Quality of First Response]],Data_Table[[#This Row],[Priority Level]:[Effective escalation ]])=2,"Pass","Pass"))</f>
        <v>Pass</v>
      </c>
      <c r="AL149" s="6" t="str">
        <f>IF(Data_Table[[#This Row],[Attribute Fail Rate PF]]="Fail",1,"")</f>
        <v/>
      </c>
      <c r="AM149" s="6">
        <f>1</f>
        <v>1</v>
      </c>
      <c r="AN149" s="6" t="str">
        <f>IF(Data_Table[[#This Row],[Attribute Fail Rate PF]]="Fail",Data_Table[[#This Row],[Ticket ID]],"")</f>
        <v/>
      </c>
      <c r="AO149" s="6" t="str" cm="1">
        <f t="array" ref="AO149">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c r="AP149" s="12"/>
    </row>
    <row r="150" spans="1:42" ht="15" customHeight="1" x14ac:dyDescent="0.25">
      <c r="A150" s="11">
        <v>44873</v>
      </c>
      <c r="B150" s="2" t="s">
        <v>8</v>
      </c>
      <c r="C150" s="2">
        <f t="shared" si="4"/>
        <v>46</v>
      </c>
      <c r="D150" s="2">
        <f>MATCH(Data_Table[[#This Row],[Week]],_xlfn._xlws.SORT(_xlfn.UNIQUE(Data_Table[Week]),1,-1),0)</f>
        <v>2</v>
      </c>
      <c r="E150" s="2" t="str">
        <f>TEXT(Data_Table[[#This Row],[Date of the Ticket for Review]],"mmm")</f>
        <v>Nov</v>
      </c>
      <c r="F150" s="9">
        <v>885381</v>
      </c>
      <c r="G150" s="9" t="str">
        <f>VLOOKUP(F150,Agent_Table[],2,FALSE)</f>
        <v>Nuraini Hassan</v>
      </c>
      <c r="H150" s="9" t="str">
        <f>IFERROR(VLOOKUP(Data_Table[[#This Row],[Ticket ID]],Product_Table[],2,FALSE),"")</f>
        <v>Performance &amp; Delivery</v>
      </c>
      <c r="I150" s="4" t="s">
        <v>2</v>
      </c>
      <c r="J150" s="9">
        <v>3</v>
      </c>
      <c r="K150" s="9">
        <v>3</v>
      </c>
      <c r="L150" s="9">
        <v>3</v>
      </c>
      <c r="M150" s="9">
        <v>3</v>
      </c>
      <c r="N150" s="9">
        <v>3</v>
      </c>
      <c r="O150" s="9">
        <v>3</v>
      </c>
      <c r="P150" s="9">
        <v>3</v>
      </c>
      <c r="Q150" s="9">
        <v>3</v>
      </c>
      <c r="R150" s="6" t="s">
        <v>3</v>
      </c>
      <c r="S150" s="6" t="str">
        <f>IF(MIN(Data_Table[[#This Row],[Grammar &amp; Syntax ]:[Quality of First Response]])&lt;=1,"Fail",IF(MIN(Data_Table[[#This Row],[Grammar &amp; Syntax ]:[Quality of First Response]])=2,"Neutral","Pass"))</f>
        <v>Pass</v>
      </c>
      <c r="T150" s="6" t="str">
        <f>IF(MIN(Data_Table[[#This Row],[Grammar &amp; Syntax ]:[Quality of First Response]])&lt;=1,"Fail",IF(MIN(Data_Table[[#This Row],[Grammar &amp; Syntax ]:[Quality of First Response]])=2,"Pass","Pass"))</f>
        <v>Pass</v>
      </c>
      <c r="U150" s="6">
        <f>IF(Data_Table[[#This Row],[Compliance Critical PF]]="Fail",1,0)</f>
        <v>0</v>
      </c>
      <c r="V150" s="6"/>
      <c r="W150" s="8">
        <v>3</v>
      </c>
      <c r="X150" s="8">
        <v>3</v>
      </c>
      <c r="Y150" s="8">
        <v>3</v>
      </c>
      <c r="Z150" s="8">
        <v>2</v>
      </c>
      <c r="AA150" s="1" t="s">
        <v>12</v>
      </c>
      <c r="AB150" s="8">
        <v>3</v>
      </c>
      <c r="AC150" s="8">
        <v>3</v>
      </c>
      <c r="AD150" s="8">
        <v>3</v>
      </c>
      <c r="AE150" s="1" t="s">
        <v>12</v>
      </c>
      <c r="AF150" s="7" t="s">
        <v>75</v>
      </c>
      <c r="AG150" s="7" t="str">
        <f>IF(MIN(Data_Table[[#This Row],[Priority Level]:[Effective escalation ]])&lt;=1,"Fail",IF(MIN(Data_Table[[#This Row],[Priority Level]:[Effective escalation ]])=2,"Neutral","Pass"))</f>
        <v>Neutral</v>
      </c>
      <c r="AH150" s="2" t="str">
        <f>IF(MIN(Data_Table[[#This Row],[Priority Level]:[Effective escalation ]])&lt;=1,"Fail",IF(MIN(Data_Table[[#This Row],[Priority Level]:[Effective escalation ]])=2,"Pass","Pass"))</f>
        <v>Pass</v>
      </c>
      <c r="AI150" s="2" t="str">
        <f>IF(Data_Table[[#This Row],[Business Critical PF]]="Fail",1,"")</f>
        <v/>
      </c>
      <c r="AJ150" s="6" t="str">
        <f>IF(MIN(Data_Table[[#This Row],[Grammar &amp; Syntax ]:[Quality of First Response]],Data_Table[[#This Row],[Priority Level]:[Effective escalation ]])&lt;=1,"Fail",IF(MIN(Data_Table[[#This Row],[Grammar &amp; Syntax ]:[Quality of First Response]],Data_Table[[#This Row],[Priority Level]:[Effective escalation ]])=2,"Neutral","Pass"))</f>
        <v>Neutral</v>
      </c>
      <c r="AK150" s="6" t="str">
        <f>IF(MIN(Data_Table[[#This Row],[Grammar &amp; Syntax ]:[Quality of First Response]],Data_Table[[#This Row],[Priority Level]:[Effective escalation ]])&lt;=1,"Fail",IF(MIN(Data_Table[[#This Row],[Grammar &amp; Syntax ]:[Quality of First Response]],Data_Table[[#This Row],[Priority Level]:[Effective escalation ]])=2,"Pass","Pass"))</f>
        <v>Pass</v>
      </c>
      <c r="AL150" s="6" t="str">
        <f>IF(Data_Table[[#This Row],[Attribute Fail Rate PF]]="Fail",1,"")</f>
        <v/>
      </c>
      <c r="AM150" s="6">
        <f>1</f>
        <v>1</v>
      </c>
      <c r="AN150" s="6" t="str">
        <f>IF(Data_Table[[#This Row],[Attribute Fail Rate PF]]="Fail",Data_Table[[#This Row],[Ticket ID]],"")</f>
        <v/>
      </c>
      <c r="AO150" s="6" t="str" cm="1">
        <f t="array" ref="AO150">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c r="AP150" s="12"/>
    </row>
    <row r="151" spans="1:42" ht="15" customHeight="1" x14ac:dyDescent="0.25">
      <c r="A151" s="11">
        <v>44876</v>
      </c>
      <c r="B151" s="2" t="s">
        <v>8</v>
      </c>
      <c r="C151" s="2">
        <f t="shared" si="4"/>
        <v>46</v>
      </c>
      <c r="D151" s="2">
        <f>MATCH(Data_Table[[#This Row],[Week]],_xlfn._xlws.SORT(_xlfn.UNIQUE(Data_Table[Week]),1,-1),0)</f>
        <v>2</v>
      </c>
      <c r="E151" s="2" t="str">
        <f>TEXT(Data_Table[[#This Row],[Date of the Ticket for Review]],"mmm")</f>
        <v>Nov</v>
      </c>
      <c r="F151" s="9">
        <v>890373</v>
      </c>
      <c r="G151" s="9" t="str">
        <f>VLOOKUP(F151,Agent_Table[],2,FALSE)</f>
        <v xml:space="preserve">Jiao Ni (Annie)
</v>
      </c>
      <c r="H151" s="9" t="str">
        <f>IFERROR(VLOOKUP(Data_Table[[#This Row],[Ticket ID]],Product_Table[],2,FALSE),"")</f>
        <v>Performance &amp; Delivery</v>
      </c>
      <c r="I151" s="4" t="s">
        <v>2</v>
      </c>
      <c r="J151" s="9">
        <v>3</v>
      </c>
      <c r="K151" s="9">
        <v>3</v>
      </c>
      <c r="L151" s="9">
        <v>3</v>
      </c>
      <c r="M151" s="9">
        <v>3</v>
      </c>
      <c r="N151" s="9">
        <v>3</v>
      </c>
      <c r="O151" s="9">
        <v>3</v>
      </c>
      <c r="P151" s="9">
        <v>3</v>
      </c>
      <c r="Q151" s="9">
        <v>3</v>
      </c>
      <c r="R151" s="6" t="s">
        <v>55</v>
      </c>
      <c r="S151" s="6" t="str">
        <f>IF(MIN(Data_Table[[#This Row],[Grammar &amp; Syntax ]:[Quality of First Response]])&lt;=1,"Fail",IF(MIN(Data_Table[[#This Row],[Grammar &amp; Syntax ]:[Quality of First Response]])=2,"Neutral","Pass"))</f>
        <v>Pass</v>
      </c>
      <c r="T151" s="6" t="str">
        <f>IF(MIN(Data_Table[[#This Row],[Grammar &amp; Syntax ]:[Quality of First Response]])&lt;=1,"Fail",IF(MIN(Data_Table[[#This Row],[Grammar &amp; Syntax ]:[Quality of First Response]])=2,"Pass","Pass"))</f>
        <v>Pass</v>
      </c>
      <c r="U151" s="6">
        <f>IF(Data_Table[[#This Row],[Compliance Critical PF]]="Fail",1,0)</f>
        <v>0</v>
      </c>
      <c r="V151" s="6"/>
      <c r="W151" s="8">
        <v>3</v>
      </c>
      <c r="X151" s="8">
        <v>3</v>
      </c>
      <c r="Y151" s="8">
        <v>3</v>
      </c>
      <c r="Z151" s="8">
        <v>3</v>
      </c>
      <c r="AA151" s="1" t="s">
        <v>12</v>
      </c>
      <c r="AB151" s="8">
        <v>3</v>
      </c>
      <c r="AC151" s="8">
        <v>3</v>
      </c>
      <c r="AD151" s="8">
        <v>3</v>
      </c>
      <c r="AE151" s="1" t="s">
        <v>12</v>
      </c>
      <c r="AF151" s="7" t="s">
        <v>12</v>
      </c>
      <c r="AG151" s="7" t="str">
        <f>IF(MIN(Data_Table[[#This Row],[Priority Level]:[Effective escalation ]])&lt;=1,"Fail",IF(MIN(Data_Table[[#This Row],[Priority Level]:[Effective escalation ]])=2,"Neutral","Pass"))</f>
        <v>Pass</v>
      </c>
      <c r="AH151" s="2" t="str">
        <f>IF(MIN(Data_Table[[#This Row],[Priority Level]:[Effective escalation ]])&lt;=1,"Fail",IF(MIN(Data_Table[[#This Row],[Priority Level]:[Effective escalation ]])=2,"Pass","Pass"))</f>
        <v>Pass</v>
      </c>
      <c r="AI151" s="2" t="str">
        <f>IF(Data_Table[[#This Row],[Business Critical PF]]="Fail",1,"")</f>
        <v/>
      </c>
      <c r="AJ151" s="6"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151" s="6" t="str">
        <f>IF(MIN(Data_Table[[#This Row],[Grammar &amp; Syntax ]:[Quality of First Response]],Data_Table[[#This Row],[Priority Level]:[Effective escalation ]])&lt;=1,"Fail",IF(MIN(Data_Table[[#This Row],[Grammar &amp; Syntax ]:[Quality of First Response]],Data_Table[[#This Row],[Priority Level]:[Effective escalation ]])=2,"Pass","Pass"))</f>
        <v>Pass</v>
      </c>
      <c r="AL151" s="6" t="str">
        <f>IF(Data_Table[[#This Row],[Attribute Fail Rate PF]]="Fail",1,"")</f>
        <v/>
      </c>
      <c r="AM151" s="6">
        <f>1</f>
        <v>1</v>
      </c>
      <c r="AN151" s="6" t="str">
        <f>IF(Data_Table[[#This Row],[Attribute Fail Rate PF]]="Fail",Data_Table[[#This Row],[Ticket ID]],"")</f>
        <v/>
      </c>
      <c r="AO151" s="6" t="str" cm="1">
        <f t="array" ref="AO151">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c r="AP151" s="12"/>
    </row>
    <row r="152" spans="1:42" ht="15" customHeight="1" x14ac:dyDescent="0.25">
      <c r="A152" s="11">
        <v>44872</v>
      </c>
      <c r="B152" s="2" t="s">
        <v>8</v>
      </c>
      <c r="C152" s="2">
        <f t="shared" si="4"/>
        <v>46</v>
      </c>
      <c r="D152" s="2">
        <f>MATCH(Data_Table[[#This Row],[Week]],_xlfn._xlws.SORT(_xlfn.UNIQUE(Data_Table[Week]),1,-1),0)</f>
        <v>2</v>
      </c>
      <c r="E152" s="2" t="str">
        <f>TEXT(Data_Table[[#This Row],[Date of the Ticket for Review]],"mmm")</f>
        <v>Nov</v>
      </c>
      <c r="F152" s="9">
        <v>883568</v>
      </c>
      <c r="G152" s="9" t="str">
        <f>VLOOKUP(F152,Agent_Table[],2,FALSE)</f>
        <v xml:space="preserve">Jiao Ni (Annie)
</v>
      </c>
      <c r="H152" s="9" t="str">
        <f>IFERROR(VLOOKUP(Data_Table[[#This Row],[Ticket ID]],Product_Table[],2,FALSE),"")</f>
        <v>Measurement</v>
      </c>
      <c r="I152" s="4" t="s">
        <v>2</v>
      </c>
      <c r="J152" s="9">
        <v>3</v>
      </c>
      <c r="K152" s="9">
        <v>3</v>
      </c>
      <c r="L152" s="9">
        <v>3</v>
      </c>
      <c r="M152" s="9">
        <v>3</v>
      </c>
      <c r="N152" s="9">
        <v>3</v>
      </c>
      <c r="O152" s="9">
        <v>3</v>
      </c>
      <c r="P152" s="9">
        <v>3</v>
      </c>
      <c r="Q152" s="9">
        <v>3</v>
      </c>
      <c r="R152" s="6" t="s">
        <v>3</v>
      </c>
      <c r="S152" s="6" t="str">
        <f>IF(MIN(Data_Table[[#This Row],[Grammar &amp; Syntax ]:[Quality of First Response]])&lt;=1,"Fail",IF(MIN(Data_Table[[#This Row],[Grammar &amp; Syntax ]:[Quality of First Response]])=2,"Neutral","Pass"))</f>
        <v>Pass</v>
      </c>
      <c r="T152" s="6" t="str">
        <f>IF(MIN(Data_Table[[#This Row],[Grammar &amp; Syntax ]:[Quality of First Response]])&lt;=1,"Fail",IF(MIN(Data_Table[[#This Row],[Grammar &amp; Syntax ]:[Quality of First Response]])=2,"Pass","Pass"))</f>
        <v>Pass</v>
      </c>
      <c r="U152" s="6">
        <f>IF(Data_Table[[#This Row],[Compliance Critical PF]]="Fail",1,0)</f>
        <v>0</v>
      </c>
      <c r="V152" s="6"/>
      <c r="W152" s="8">
        <v>3</v>
      </c>
      <c r="X152" s="8">
        <v>3</v>
      </c>
      <c r="Y152" s="8">
        <v>2</v>
      </c>
      <c r="Z152" s="8">
        <v>2</v>
      </c>
      <c r="AA152" s="1" t="s">
        <v>12</v>
      </c>
      <c r="AB152" s="8">
        <v>2</v>
      </c>
      <c r="AC152" s="8">
        <v>3</v>
      </c>
      <c r="AD152" s="8">
        <v>3</v>
      </c>
      <c r="AE152" s="8">
        <v>3</v>
      </c>
      <c r="AF152" s="7" t="s">
        <v>76</v>
      </c>
      <c r="AG152" s="7" t="str">
        <f>IF(MIN(Data_Table[[#This Row],[Priority Level]:[Effective escalation ]])&lt;=1,"Fail",IF(MIN(Data_Table[[#This Row],[Priority Level]:[Effective escalation ]])=2,"Neutral","Pass"))</f>
        <v>Neutral</v>
      </c>
      <c r="AH152" s="2" t="str">
        <f>IF(MIN(Data_Table[[#This Row],[Priority Level]:[Effective escalation ]])&lt;=1,"Fail",IF(MIN(Data_Table[[#This Row],[Priority Level]:[Effective escalation ]])=2,"Pass","Pass"))</f>
        <v>Pass</v>
      </c>
      <c r="AI152" s="2" t="str">
        <f>IF(Data_Table[[#This Row],[Business Critical PF]]="Fail",1,"")</f>
        <v/>
      </c>
      <c r="AJ152" s="6" t="str">
        <f>IF(MIN(Data_Table[[#This Row],[Grammar &amp; Syntax ]:[Quality of First Response]],Data_Table[[#This Row],[Priority Level]:[Effective escalation ]])&lt;=1,"Fail",IF(MIN(Data_Table[[#This Row],[Grammar &amp; Syntax ]:[Quality of First Response]],Data_Table[[#This Row],[Priority Level]:[Effective escalation ]])=2,"Neutral","Pass"))</f>
        <v>Neutral</v>
      </c>
      <c r="AK152" s="6" t="str">
        <f>IF(MIN(Data_Table[[#This Row],[Grammar &amp; Syntax ]:[Quality of First Response]],Data_Table[[#This Row],[Priority Level]:[Effective escalation ]])&lt;=1,"Fail",IF(MIN(Data_Table[[#This Row],[Grammar &amp; Syntax ]:[Quality of First Response]],Data_Table[[#This Row],[Priority Level]:[Effective escalation ]])=2,"Pass","Pass"))</f>
        <v>Pass</v>
      </c>
      <c r="AL152" s="6" t="str">
        <f>IF(Data_Table[[#This Row],[Attribute Fail Rate PF]]="Fail",1,"")</f>
        <v/>
      </c>
      <c r="AM152" s="6">
        <f>1</f>
        <v>1</v>
      </c>
      <c r="AN152" s="6" t="str">
        <f>IF(Data_Table[[#This Row],[Attribute Fail Rate PF]]="Fail",Data_Table[[#This Row],[Ticket ID]],"")</f>
        <v/>
      </c>
      <c r="AO152" s="6" t="str" cm="1">
        <f t="array" ref="AO152">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c r="AP152" s="12"/>
    </row>
    <row r="153" spans="1:42" ht="15" customHeight="1" x14ac:dyDescent="0.25">
      <c r="A153" s="11">
        <v>44873</v>
      </c>
      <c r="B153" s="2" t="s">
        <v>1</v>
      </c>
      <c r="C153" s="2">
        <f t="shared" si="4"/>
        <v>46</v>
      </c>
      <c r="D153" s="2">
        <f>MATCH(Data_Table[[#This Row],[Week]],_xlfn._xlws.SORT(_xlfn.UNIQUE(Data_Table[Week]),1,-1),0)</f>
        <v>2</v>
      </c>
      <c r="E153" s="2" t="str">
        <f>TEXT(Data_Table[[#This Row],[Date of the Ticket for Review]],"mmm")</f>
        <v>Nov</v>
      </c>
      <c r="F153" s="9">
        <v>885731</v>
      </c>
      <c r="G153" s="9" t="str">
        <f>VLOOKUP(F153,Agent_Table[],2,FALSE)</f>
        <v>Agnes Tang</v>
      </c>
      <c r="H153" s="9" t="str">
        <f>IFERROR(VLOOKUP(Data_Table[[#This Row],[Ticket ID]],Product_Table[],2,FALSE),"")</f>
        <v>Performance &amp; Delivery</v>
      </c>
      <c r="I153" s="4" t="s">
        <v>2</v>
      </c>
      <c r="J153" s="9">
        <v>3</v>
      </c>
      <c r="K153" s="9">
        <v>3</v>
      </c>
      <c r="L153" s="9">
        <v>3</v>
      </c>
      <c r="M153" s="9">
        <v>3</v>
      </c>
      <c r="N153" s="9">
        <v>3</v>
      </c>
      <c r="O153" s="9">
        <v>3</v>
      </c>
      <c r="P153" s="9">
        <v>3</v>
      </c>
      <c r="Q153" s="9">
        <v>3</v>
      </c>
      <c r="R153" s="6" t="s">
        <v>3</v>
      </c>
      <c r="S153" s="6" t="str">
        <f>IF(MIN(Data_Table[[#This Row],[Grammar &amp; Syntax ]:[Quality of First Response]])&lt;=1,"Fail",IF(MIN(Data_Table[[#This Row],[Grammar &amp; Syntax ]:[Quality of First Response]])=2,"Neutral","Pass"))</f>
        <v>Pass</v>
      </c>
      <c r="T153" s="6" t="str">
        <f>IF(MIN(Data_Table[[#This Row],[Grammar &amp; Syntax ]:[Quality of First Response]])&lt;=1,"Fail",IF(MIN(Data_Table[[#This Row],[Grammar &amp; Syntax ]:[Quality of First Response]])=2,"Pass","Pass"))</f>
        <v>Pass</v>
      </c>
      <c r="U153" s="6">
        <f>IF(Data_Table[[#This Row],[Compliance Critical PF]]="Fail",1,0)</f>
        <v>0</v>
      </c>
      <c r="V153" s="6"/>
      <c r="W153" s="8">
        <v>3</v>
      </c>
      <c r="X153" s="8">
        <v>3</v>
      </c>
      <c r="Y153" s="8">
        <v>3</v>
      </c>
      <c r="Z153" s="8">
        <v>3</v>
      </c>
      <c r="AA153" s="1" t="s">
        <v>12</v>
      </c>
      <c r="AB153" s="8">
        <v>3</v>
      </c>
      <c r="AC153" s="8">
        <v>3</v>
      </c>
      <c r="AD153" s="8">
        <v>3</v>
      </c>
      <c r="AE153" s="1" t="s">
        <v>12</v>
      </c>
      <c r="AF153" s="7" t="s">
        <v>12</v>
      </c>
      <c r="AG153" s="7" t="str">
        <f>IF(MIN(Data_Table[[#This Row],[Priority Level]:[Effective escalation ]])&lt;=1,"Fail",IF(MIN(Data_Table[[#This Row],[Priority Level]:[Effective escalation ]])=2,"Neutral","Pass"))</f>
        <v>Pass</v>
      </c>
      <c r="AH153" s="2" t="str">
        <f>IF(MIN(Data_Table[[#This Row],[Priority Level]:[Effective escalation ]])&lt;=1,"Fail",IF(MIN(Data_Table[[#This Row],[Priority Level]:[Effective escalation ]])=2,"Pass","Pass"))</f>
        <v>Pass</v>
      </c>
      <c r="AI153" s="2" t="str">
        <f>IF(Data_Table[[#This Row],[Business Critical PF]]="Fail",1,"")</f>
        <v/>
      </c>
      <c r="AJ153" s="6"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153" s="6" t="str">
        <f>IF(MIN(Data_Table[[#This Row],[Grammar &amp; Syntax ]:[Quality of First Response]],Data_Table[[#This Row],[Priority Level]:[Effective escalation ]])&lt;=1,"Fail",IF(MIN(Data_Table[[#This Row],[Grammar &amp; Syntax ]:[Quality of First Response]],Data_Table[[#This Row],[Priority Level]:[Effective escalation ]])=2,"Pass","Pass"))</f>
        <v>Pass</v>
      </c>
      <c r="AL153" s="6" t="str">
        <f>IF(Data_Table[[#This Row],[Attribute Fail Rate PF]]="Fail",1,"")</f>
        <v/>
      </c>
      <c r="AM153" s="6">
        <f>1</f>
        <v>1</v>
      </c>
      <c r="AN153" s="6" t="str">
        <f>IF(Data_Table[[#This Row],[Attribute Fail Rate PF]]="Fail",Data_Table[[#This Row],[Ticket ID]],"")</f>
        <v/>
      </c>
      <c r="AO153" s="6" t="str" cm="1">
        <f t="array" ref="AO153">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c r="AP153" s="12"/>
    </row>
    <row r="154" spans="1:42" ht="15" customHeight="1" x14ac:dyDescent="0.25">
      <c r="A154" s="11">
        <v>44872</v>
      </c>
      <c r="B154" s="2" t="s">
        <v>1</v>
      </c>
      <c r="C154" s="2">
        <f t="shared" si="4"/>
        <v>46</v>
      </c>
      <c r="D154" s="2">
        <f>MATCH(Data_Table[[#This Row],[Week]],_xlfn._xlws.SORT(_xlfn.UNIQUE(Data_Table[Week]),1,-1),0)</f>
        <v>2</v>
      </c>
      <c r="E154" s="2" t="str">
        <f>TEXT(Data_Table[[#This Row],[Date of the Ticket for Review]],"mmm")</f>
        <v>Nov</v>
      </c>
      <c r="F154" s="9">
        <v>884043</v>
      </c>
      <c r="G154" s="9" t="str">
        <f>VLOOKUP(F154,Agent_Table[],2,FALSE)</f>
        <v>Agnes Tang</v>
      </c>
      <c r="H154" s="9" t="str">
        <f>IFERROR(VLOOKUP(Data_Table[[#This Row],[Ticket ID]],Product_Table[],2,FALSE),"")</f>
        <v>Performance &amp; Delivery</v>
      </c>
      <c r="I154" s="4" t="s">
        <v>2</v>
      </c>
      <c r="J154" s="9">
        <v>3</v>
      </c>
      <c r="K154" s="9">
        <v>3</v>
      </c>
      <c r="L154" s="9">
        <v>3</v>
      </c>
      <c r="M154" s="9">
        <v>3</v>
      </c>
      <c r="N154" s="9">
        <v>3</v>
      </c>
      <c r="O154" s="9">
        <v>3</v>
      </c>
      <c r="P154" s="9">
        <v>3</v>
      </c>
      <c r="Q154" s="9">
        <v>3</v>
      </c>
      <c r="R154" s="6" t="s">
        <v>3</v>
      </c>
      <c r="S154" s="6" t="str">
        <f>IF(MIN(Data_Table[[#This Row],[Grammar &amp; Syntax ]:[Quality of First Response]])&lt;=1,"Fail",IF(MIN(Data_Table[[#This Row],[Grammar &amp; Syntax ]:[Quality of First Response]])=2,"Neutral","Pass"))</f>
        <v>Pass</v>
      </c>
      <c r="T154" s="6" t="str">
        <f>IF(MIN(Data_Table[[#This Row],[Grammar &amp; Syntax ]:[Quality of First Response]])&lt;=1,"Fail",IF(MIN(Data_Table[[#This Row],[Grammar &amp; Syntax ]:[Quality of First Response]])=2,"Pass","Pass"))</f>
        <v>Pass</v>
      </c>
      <c r="U154" s="6">
        <f>IF(Data_Table[[#This Row],[Compliance Critical PF]]="Fail",1,0)</f>
        <v>0</v>
      </c>
      <c r="V154" s="6"/>
      <c r="W154" s="8">
        <v>3</v>
      </c>
      <c r="X154" s="8">
        <v>3</v>
      </c>
      <c r="Y154" s="8">
        <v>3</v>
      </c>
      <c r="Z154" s="8">
        <v>3</v>
      </c>
      <c r="AA154" s="8">
        <v>3</v>
      </c>
      <c r="AB154" s="8">
        <v>3</v>
      </c>
      <c r="AC154" s="8">
        <v>3</v>
      </c>
      <c r="AD154" s="8">
        <v>2</v>
      </c>
      <c r="AE154" s="1" t="s">
        <v>12</v>
      </c>
      <c r="AF154" s="7" t="s">
        <v>72</v>
      </c>
      <c r="AG154" s="7" t="str">
        <f>IF(MIN(Data_Table[[#This Row],[Priority Level]:[Effective escalation ]])&lt;=1,"Fail",IF(MIN(Data_Table[[#This Row],[Priority Level]:[Effective escalation ]])=2,"Neutral","Pass"))</f>
        <v>Neutral</v>
      </c>
      <c r="AH154" s="2" t="str">
        <f>IF(MIN(Data_Table[[#This Row],[Priority Level]:[Effective escalation ]])&lt;=1,"Fail",IF(MIN(Data_Table[[#This Row],[Priority Level]:[Effective escalation ]])=2,"Pass","Pass"))</f>
        <v>Pass</v>
      </c>
      <c r="AI154" s="2" t="str">
        <f>IF(Data_Table[[#This Row],[Business Critical PF]]="Fail",1,"")</f>
        <v/>
      </c>
      <c r="AJ154" s="6" t="str">
        <f>IF(MIN(Data_Table[[#This Row],[Grammar &amp; Syntax ]:[Quality of First Response]],Data_Table[[#This Row],[Priority Level]:[Effective escalation ]])&lt;=1,"Fail",IF(MIN(Data_Table[[#This Row],[Grammar &amp; Syntax ]:[Quality of First Response]],Data_Table[[#This Row],[Priority Level]:[Effective escalation ]])=2,"Neutral","Pass"))</f>
        <v>Neutral</v>
      </c>
      <c r="AK154" s="6" t="str">
        <f>IF(MIN(Data_Table[[#This Row],[Grammar &amp; Syntax ]:[Quality of First Response]],Data_Table[[#This Row],[Priority Level]:[Effective escalation ]])&lt;=1,"Fail",IF(MIN(Data_Table[[#This Row],[Grammar &amp; Syntax ]:[Quality of First Response]],Data_Table[[#This Row],[Priority Level]:[Effective escalation ]])=2,"Pass","Pass"))</f>
        <v>Pass</v>
      </c>
      <c r="AL154" s="6" t="str">
        <f>IF(Data_Table[[#This Row],[Attribute Fail Rate PF]]="Fail",1,"")</f>
        <v/>
      </c>
      <c r="AM154" s="6">
        <f>1</f>
        <v>1</v>
      </c>
      <c r="AN154" s="6" t="str">
        <f>IF(Data_Table[[#This Row],[Attribute Fail Rate PF]]="Fail",Data_Table[[#This Row],[Ticket ID]],"")</f>
        <v/>
      </c>
      <c r="AO154" s="6" t="str" cm="1">
        <f t="array" ref="AO154">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c r="AP154" s="12"/>
    </row>
    <row r="155" spans="1:42" ht="15" customHeight="1" x14ac:dyDescent="0.25">
      <c r="A155" s="11">
        <v>44875</v>
      </c>
      <c r="B155" s="2" t="s">
        <v>1</v>
      </c>
      <c r="C155" s="2">
        <f t="shared" si="4"/>
        <v>46</v>
      </c>
      <c r="D155" s="2">
        <f>MATCH(Data_Table[[#This Row],[Week]],_xlfn._xlws.SORT(_xlfn.UNIQUE(Data_Table[Week]),1,-1),0)</f>
        <v>2</v>
      </c>
      <c r="E155" s="2" t="str">
        <f>TEXT(Data_Table[[#This Row],[Date of the Ticket for Review]],"mmm")</f>
        <v>Nov</v>
      </c>
      <c r="F155" s="9">
        <v>889171</v>
      </c>
      <c r="G155" s="9" t="str">
        <f>VLOOKUP(F155,Agent_Table[],2,FALSE)</f>
        <v>Prakash Reddy</v>
      </c>
      <c r="H155" s="9" t="str">
        <f>IFERROR(VLOOKUP(Data_Table[[#This Row],[Ticket ID]],Product_Table[],2,FALSE),"")</f>
        <v>Measurement</v>
      </c>
      <c r="I155" s="4" t="s">
        <v>2</v>
      </c>
      <c r="J155" s="9">
        <v>3</v>
      </c>
      <c r="K155" s="9">
        <v>3</v>
      </c>
      <c r="L155" s="9">
        <v>3</v>
      </c>
      <c r="M155" s="9">
        <v>3</v>
      </c>
      <c r="N155" s="9">
        <v>3</v>
      </c>
      <c r="O155" s="9">
        <v>3</v>
      </c>
      <c r="P155" s="9">
        <v>3</v>
      </c>
      <c r="Q155" s="9">
        <v>3</v>
      </c>
      <c r="R155" s="6" t="s">
        <v>3</v>
      </c>
      <c r="S155" s="6" t="str">
        <f>IF(MIN(Data_Table[[#This Row],[Grammar &amp; Syntax ]:[Quality of First Response]])&lt;=1,"Fail",IF(MIN(Data_Table[[#This Row],[Grammar &amp; Syntax ]:[Quality of First Response]])=2,"Neutral","Pass"))</f>
        <v>Pass</v>
      </c>
      <c r="T155" s="6" t="str">
        <f>IF(MIN(Data_Table[[#This Row],[Grammar &amp; Syntax ]:[Quality of First Response]])&lt;=1,"Fail",IF(MIN(Data_Table[[#This Row],[Grammar &amp; Syntax ]:[Quality of First Response]])=2,"Pass","Pass"))</f>
        <v>Pass</v>
      </c>
      <c r="U155" s="6">
        <f>IF(Data_Table[[#This Row],[Compliance Critical PF]]="Fail",1,0)</f>
        <v>0</v>
      </c>
      <c r="V155" s="6"/>
      <c r="W155" s="8">
        <v>2</v>
      </c>
      <c r="X155" s="8">
        <v>3</v>
      </c>
      <c r="Y155" s="8">
        <v>2</v>
      </c>
      <c r="Z155" s="8">
        <v>3</v>
      </c>
      <c r="AA155" s="1" t="s">
        <v>12</v>
      </c>
      <c r="AB155" s="8">
        <v>2</v>
      </c>
      <c r="AC155" s="8">
        <v>3</v>
      </c>
      <c r="AD155" s="8">
        <v>2</v>
      </c>
      <c r="AE155" s="1" t="s">
        <v>12</v>
      </c>
      <c r="AF155" s="7" t="s">
        <v>73</v>
      </c>
      <c r="AG155" s="7" t="str">
        <f>IF(MIN(Data_Table[[#This Row],[Priority Level]:[Effective escalation ]])&lt;=1,"Fail",IF(MIN(Data_Table[[#This Row],[Priority Level]:[Effective escalation ]])=2,"Neutral","Pass"))</f>
        <v>Neutral</v>
      </c>
      <c r="AH155" s="2" t="str">
        <f>IF(MIN(Data_Table[[#This Row],[Priority Level]:[Effective escalation ]])&lt;=1,"Fail",IF(MIN(Data_Table[[#This Row],[Priority Level]:[Effective escalation ]])=2,"Pass","Pass"))</f>
        <v>Pass</v>
      </c>
      <c r="AI155" s="2" t="str">
        <f>IF(Data_Table[[#This Row],[Business Critical PF]]="Fail",1,"")</f>
        <v/>
      </c>
      <c r="AJ155" s="6" t="str">
        <f>IF(MIN(Data_Table[[#This Row],[Grammar &amp; Syntax ]:[Quality of First Response]],Data_Table[[#This Row],[Priority Level]:[Effective escalation ]])&lt;=1,"Fail",IF(MIN(Data_Table[[#This Row],[Grammar &amp; Syntax ]:[Quality of First Response]],Data_Table[[#This Row],[Priority Level]:[Effective escalation ]])=2,"Neutral","Pass"))</f>
        <v>Neutral</v>
      </c>
      <c r="AK155" s="6" t="str">
        <f>IF(MIN(Data_Table[[#This Row],[Grammar &amp; Syntax ]:[Quality of First Response]],Data_Table[[#This Row],[Priority Level]:[Effective escalation ]])&lt;=1,"Fail",IF(MIN(Data_Table[[#This Row],[Grammar &amp; Syntax ]:[Quality of First Response]],Data_Table[[#This Row],[Priority Level]:[Effective escalation ]])=2,"Pass","Pass"))</f>
        <v>Pass</v>
      </c>
      <c r="AL155" s="6" t="str">
        <f>IF(Data_Table[[#This Row],[Attribute Fail Rate PF]]="Fail",1,"")</f>
        <v/>
      </c>
      <c r="AM155" s="6">
        <f>1</f>
        <v>1</v>
      </c>
      <c r="AN155" s="6" t="str">
        <f>IF(Data_Table[[#This Row],[Attribute Fail Rate PF]]="Fail",Data_Table[[#This Row],[Ticket ID]],"")</f>
        <v/>
      </c>
      <c r="AO155" s="6" t="str" cm="1">
        <f t="array" ref="AO155">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c r="AP155" s="12"/>
    </row>
    <row r="156" spans="1:42" ht="15" customHeight="1" x14ac:dyDescent="0.25">
      <c r="A156" s="11">
        <v>44876</v>
      </c>
      <c r="B156" s="2" t="s">
        <v>1</v>
      </c>
      <c r="C156" s="2">
        <f t="shared" si="4"/>
        <v>46</v>
      </c>
      <c r="D156" s="2">
        <f>MATCH(Data_Table[[#This Row],[Week]],_xlfn._xlws.SORT(_xlfn.UNIQUE(Data_Table[Week]),1,-1),0)</f>
        <v>2</v>
      </c>
      <c r="E156" s="2" t="str">
        <f>TEXT(Data_Table[[#This Row],[Date of the Ticket for Review]],"mmm")</f>
        <v>Nov</v>
      </c>
      <c r="F156" s="9">
        <v>889746</v>
      </c>
      <c r="G156" s="9" t="str">
        <f>VLOOKUP(F156,Agent_Table[],2,FALSE)</f>
        <v>Prakash Reddy</v>
      </c>
      <c r="H156" s="9" t="str">
        <f>IFERROR(VLOOKUP(Data_Table[[#This Row],[Ticket ID]],Product_Table[],2,FALSE),"")</f>
        <v>Measurement</v>
      </c>
      <c r="I156" s="4" t="s">
        <v>2</v>
      </c>
      <c r="J156" s="9">
        <v>3</v>
      </c>
      <c r="K156" s="9">
        <v>3</v>
      </c>
      <c r="L156" s="9">
        <v>3</v>
      </c>
      <c r="M156" s="9">
        <v>3</v>
      </c>
      <c r="N156" s="9">
        <v>3</v>
      </c>
      <c r="O156" s="9">
        <v>3</v>
      </c>
      <c r="P156" s="9">
        <v>3</v>
      </c>
      <c r="Q156" s="9">
        <v>3</v>
      </c>
      <c r="R156" s="6" t="s">
        <v>3</v>
      </c>
      <c r="S156" s="6" t="str">
        <f>IF(MIN(Data_Table[[#This Row],[Grammar &amp; Syntax ]:[Quality of First Response]])&lt;=1,"Fail",IF(MIN(Data_Table[[#This Row],[Grammar &amp; Syntax ]:[Quality of First Response]])=2,"Neutral","Pass"))</f>
        <v>Pass</v>
      </c>
      <c r="T156" s="6" t="str">
        <f>IF(MIN(Data_Table[[#This Row],[Grammar &amp; Syntax ]:[Quality of First Response]])&lt;=1,"Fail",IF(MIN(Data_Table[[#This Row],[Grammar &amp; Syntax ]:[Quality of First Response]])=2,"Pass","Pass"))</f>
        <v>Pass</v>
      </c>
      <c r="U156" s="6">
        <f>IF(Data_Table[[#This Row],[Compliance Critical PF]]="Fail",1,0)</f>
        <v>0</v>
      </c>
      <c r="V156" s="6"/>
      <c r="W156" s="8">
        <v>3</v>
      </c>
      <c r="X156" s="8">
        <v>3</v>
      </c>
      <c r="Y156" s="8">
        <v>3</v>
      </c>
      <c r="Z156" s="8">
        <v>3</v>
      </c>
      <c r="AA156" s="1" t="s">
        <v>12</v>
      </c>
      <c r="AB156" s="8">
        <v>3</v>
      </c>
      <c r="AC156" s="8">
        <v>3</v>
      </c>
      <c r="AD156" s="8">
        <v>3</v>
      </c>
      <c r="AE156" s="1" t="s">
        <v>12</v>
      </c>
      <c r="AF156" s="7" t="s">
        <v>74</v>
      </c>
      <c r="AG156" s="7" t="str">
        <f>IF(MIN(Data_Table[[#This Row],[Priority Level]:[Effective escalation ]])&lt;=1,"Fail",IF(MIN(Data_Table[[#This Row],[Priority Level]:[Effective escalation ]])=2,"Neutral","Pass"))</f>
        <v>Pass</v>
      </c>
      <c r="AH156" s="2" t="str">
        <f>IF(MIN(Data_Table[[#This Row],[Priority Level]:[Effective escalation ]])&lt;=1,"Fail",IF(MIN(Data_Table[[#This Row],[Priority Level]:[Effective escalation ]])=2,"Pass","Pass"))</f>
        <v>Pass</v>
      </c>
      <c r="AI156" s="2" t="str">
        <f>IF(Data_Table[[#This Row],[Business Critical PF]]="Fail",1,"")</f>
        <v/>
      </c>
      <c r="AJ156" s="6"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156" s="6" t="str">
        <f>IF(MIN(Data_Table[[#This Row],[Grammar &amp; Syntax ]:[Quality of First Response]],Data_Table[[#This Row],[Priority Level]:[Effective escalation ]])&lt;=1,"Fail",IF(MIN(Data_Table[[#This Row],[Grammar &amp; Syntax ]:[Quality of First Response]],Data_Table[[#This Row],[Priority Level]:[Effective escalation ]])=2,"Pass","Pass"))</f>
        <v>Pass</v>
      </c>
      <c r="AL156" s="6" t="str">
        <f>IF(Data_Table[[#This Row],[Attribute Fail Rate PF]]="Fail",1,"")</f>
        <v/>
      </c>
      <c r="AM156" s="6">
        <f>1</f>
        <v>1</v>
      </c>
      <c r="AN156" s="6" t="str">
        <f>IF(Data_Table[[#This Row],[Attribute Fail Rate PF]]="Fail",Data_Table[[#This Row],[Ticket ID]],"")</f>
        <v/>
      </c>
      <c r="AO156" s="6" t="str" cm="1">
        <f t="array" ref="AO156">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c r="AP156" s="12"/>
    </row>
    <row r="157" spans="1:42" ht="15" customHeight="1" x14ac:dyDescent="0.25">
      <c r="A157" s="11">
        <v>44875</v>
      </c>
      <c r="B157" s="2" t="s">
        <v>1</v>
      </c>
      <c r="C157" s="2">
        <f t="shared" si="4"/>
        <v>46</v>
      </c>
      <c r="D157" s="2">
        <f>MATCH(Data_Table[[#This Row],[Week]],_xlfn._xlws.SORT(_xlfn.UNIQUE(Data_Table[Week]),1,-1),0)</f>
        <v>2</v>
      </c>
      <c r="E157" s="2" t="str">
        <f>TEXT(Data_Table[[#This Row],[Date of the Ticket for Review]],"mmm")</f>
        <v>Nov</v>
      </c>
      <c r="F157" s="9">
        <v>889360</v>
      </c>
      <c r="G157" s="9" t="str">
        <f>VLOOKUP(F157,Agent_Table[],2,FALSE)</f>
        <v>Syed Muhammad Fahad Ismail</v>
      </c>
      <c r="H157" s="9" t="str">
        <f>IFERROR(VLOOKUP(Data_Table[[#This Row],[Ticket ID]],Product_Table[],2,FALSE),"")</f>
        <v>Platforms &amp; API</v>
      </c>
      <c r="I157" s="4" t="s">
        <v>2</v>
      </c>
      <c r="J157" s="9">
        <v>3</v>
      </c>
      <c r="K157" s="9">
        <v>3</v>
      </c>
      <c r="L157" s="9">
        <v>3</v>
      </c>
      <c r="M157" s="9">
        <v>3</v>
      </c>
      <c r="N157" s="9">
        <v>3</v>
      </c>
      <c r="O157" s="9">
        <v>3</v>
      </c>
      <c r="P157" s="9">
        <v>3</v>
      </c>
      <c r="Q157" s="9">
        <v>3</v>
      </c>
      <c r="R157" s="6" t="s">
        <v>3</v>
      </c>
      <c r="S157" s="6" t="str">
        <f>IF(MIN(Data_Table[[#This Row],[Grammar &amp; Syntax ]:[Quality of First Response]])&lt;=1,"Fail",IF(MIN(Data_Table[[#This Row],[Grammar &amp; Syntax ]:[Quality of First Response]])=2,"Neutral","Pass"))</f>
        <v>Pass</v>
      </c>
      <c r="T157" s="6" t="str">
        <f>IF(MIN(Data_Table[[#This Row],[Grammar &amp; Syntax ]:[Quality of First Response]])&lt;=1,"Fail",IF(MIN(Data_Table[[#This Row],[Grammar &amp; Syntax ]:[Quality of First Response]])=2,"Pass","Pass"))</f>
        <v>Pass</v>
      </c>
      <c r="U157" s="6">
        <f>IF(Data_Table[[#This Row],[Compliance Critical PF]]="Fail",1,0)</f>
        <v>0</v>
      </c>
      <c r="V157" s="6"/>
      <c r="W157" s="8">
        <v>3</v>
      </c>
      <c r="X157" s="8">
        <v>3</v>
      </c>
      <c r="Y157" s="8">
        <v>2</v>
      </c>
      <c r="Z157" s="8">
        <v>2</v>
      </c>
      <c r="AA157" s="8">
        <v>3</v>
      </c>
      <c r="AB157" s="8">
        <v>3</v>
      </c>
      <c r="AC157" s="8">
        <v>2</v>
      </c>
      <c r="AD157" s="8">
        <v>3</v>
      </c>
      <c r="AE157" s="1" t="s">
        <v>12</v>
      </c>
      <c r="AF157" s="7" t="s">
        <v>71</v>
      </c>
      <c r="AG157" s="7" t="str">
        <f>IF(MIN(Data_Table[[#This Row],[Priority Level]:[Effective escalation ]])&lt;=1,"Fail",IF(MIN(Data_Table[[#This Row],[Priority Level]:[Effective escalation ]])=2,"Neutral","Pass"))</f>
        <v>Neutral</v>
      </c>
      <c r="AH157" s="2" t="str">
        <f>IF(MIN(Data_Table[[#This Row],[Priority Level]:[Effective escalation ]])&lt;=1,"Fail",IF(MIN(Data_Table[[#This Row],[Priority Level]:[Effective escalation ]])=2,"Pass","Pass"))</f>
        <v>Pass</v>
      </c>
      <c r="AI157" s="2" t="str">
        <f>IF(Data_Table[[#This Row],[Business Critical PF]]="Fail",1,"")</f>
        <v/>
      </c>
      <c r="AJ157" s="6" t="str">
        <f>IF(MIN(Data_Table[[#This Row],[Grammar &amp; Syntax ]:[Quality of First Response]],Data_Table[[#This Row],[Priority Level]:[Effective escalation ]])&lt;=1,"Fail",IF(MIN(Data_Table[[#This Row],[Grammar &amp; Syntax ]:[Quality of First Response]],Data_Table[[#This Row],[Priority Level]:[Effective escalation ]])=2,"Neutral","Pass"))</f>
        <v>Neutral</v>
      </c>
      <c r="AK157" s="6" t="str">
        <f>IF(MIN(Data_Table[[#This Row],[Grammar &amp; Syntax ]:[Quality of First Response]],Data_Table[[#This Row],[Priority Level]:[Effective escalation ]])&lt;=1,"Fail",IF(MIN(Data_Table[[#This Row],[Grammar &amp; Syntax ]:[Quality of First Response]],Data_Table[[#This Row],[Priority Level]:[Effective escalation ]])=2,"Pass","Pass"))</f>
        <v>Pass</v>
      </c>
      <c r="AL157" s="6" t="str">
        <f>IF(Data_Table[[#This Row],[Attribute Fail Rate PF]]="Fail",1,"")</f>
        <v/>
      </c>
      <c r="AM157" s="6">
        <f>1</f>
        <v>1</v>
      </c>
      <c r="AN157" s="6" t="str">
        <f>IF(Data_Table[[#This Row],[Attribute Fail Rate PF]]="Fail",Data_Table[[#This Row],[Ticket ID]],"")</f>
        <v/>
      </c>
      <c r="AO157" s="6" t="str" cm="1">
        <f t="array" ref="AO157">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c r="AP157" s="12"/>
    </row>
    <row r="158" spans="1:42" ht="15" customHeight="1" x14ac:dyDescent="0.25">
      <c r="A158" s="11">
        <v>44873</v>
      </c>
      <c r="B158" s="2" t="s">
        <v>1</v>
      </c>
      <c r="C158" s="2">
        <f t="shared" si="4"/>
        <v>46</v>
      </c>
      <c r="D158" s="2">
        <f>MATCH(Data_Table[[#This Row],[Week]],_xlfn._xlws.SORT(_xlfn.UNIQUE(Data_Table[Week]),1,-1),0)</f>
        <v>2</v>
      </c>
      <c r="E158" s="2" t="str">
        <f>TEXT(Data_Table[[#This Row],[Date of the Ticket for Review]],"mmm")</f>
        <v>Nov</v>
      </c>
      <c r="F158" s="9">
        <v>884615</v>
      </c>
      <c r="G158" s="9" t="str">
        <f>VLOOKUP(F158,Agent_Table[],2,FALSE)</f>
        <v>Syed Muhammad Fahad Ismail</v>
      </c>
      <c r="H158" s="9" t="str">
        <f>IFERROR(VLOOKUP(Data_Table[[#This Row],[Ticket ID]],Product_Table[],2,FALSE),"")</f>
        <v>Measurement</v>
      </c>
      <c r="I158" s="4" t="s">
        <v>2</v>
      </c>
      <c r="J158" s="9">
        <v>3</v>
      </c>
      <c r="K158" s="9">
        <v>3</v>
      </c>
      <c r="L158" s="9">
        <v>3</v>
      </c>
      <c r="M158" s="9">
        <v>3</v>
      </c>
      <c r="N158" s="9">
        <v>3</v>
      </c>
      <c r="O158" s="9">
        <v>3</v>
      </c>
      <c r="P158" s="9">
        <v>3</v>
      </c>
      <c r="Q158" s="9">
        <v>3</v>
      </c>
      <c r="R158" s="6" t="s">
        <v>3</v>
      </c>
      <c r="S158" s="6" t="str">
        <f>IF(MIN(Data_Table[[#This Row],[Grammar &amp; Syntax ]:[Quality of First Response]])&lt;=1,"Fail",IF(MIN(Data_Table[[#This Row],[Grammar &amp; Syntax ]:[Quality of First Response]])=2,"Neutral","Pass"))</f>
        <v>Pass</v>
      </c>
      <c r="T158" s="6" t="str">
        <f>IF(MIN(Data_Table[[#This Row],[Grammar &amp; Syntax ]:[Quality of First Response]])&lt;=1,"Fail",IF(MIN(Data_Table[[#This Row],[Grammar &amp; Syntax ]:[Quality of First Response]])=2,"Pass","Pass"))</f>
        <v>Pass</v>
      </c>
      <c r="U158" s="6">
        <f>IF(Data_Table[[#This Row],[Compliance Critical PF]]="Fail",1,0)</f>
        <v>0</v>
      </c>
      <c r="V158" s="6"/>
      <c r="W158" s="1" t="s">
        <v>27</v>
      </c>
      <c r="X158" s="1" t="s">
        <v>27</v>
      </c>
      <c r="Y158" s="1" t="s">
        <v>27</v>
      </c>
      <c r="Z158" s="1" t="s">
        <v>27</v>
      </c>
      <c r="AA158" s="1" t="s">
        <v>27</v>
      </c>
      <c r="AB158" s="1" t="s">
        <v>27</v>
      </c>
      <c r="AC158" s="1" t="s">
        <v>27</v>
      </c>
      <c r="AD158" s="1" t="s">
        <v>27</v>
      </c>
      <c r="AE158" s="1" t="s">
        <v>27</v>
      </c>
      <c r="AF158" s="7" t="s">
        <v>27</v>
      </c>
      <c r="AG158" s="7" t="str">
        <f>IF(MIN(Data_Table[[#This Row],[Priority Level]:[Effective escalation ]])&lt;=1,"Fail",IF(MIN(Data_Table[[#This Row],[Priority Level]:[Effective escalation ]])=2,"Neutral","Pass"))</f>
        <v>Fail</v>
      </c>
      <c r="AH158" s="2" t="str">
        <f>IF(MIN(Data_Table[[#This Row],[Priority Level]:[Effective escalation ]])&lt;=1,"Fail",IF(MIN(Data_Table[[#This Row],[Priority Level]:[Effective escalation ]])=2,"Pass","Pass"))</f>
        <v>Fail</v>
      </c>
      <c r="AI158" s="2">
        <f>IF(Data_Table[[#This Row],[Business Critical PF]]="Fail",1,"")</f>
        <v>1</v>
      </c>
      <c r="AJ158" s="6"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158" s="6" t="str">
        <f>IF(MIN(Data_Table[[#This Row],[Grammar &amp; Syntax ]:[Quality of First Response]],Data_Table[[#This Row],[Priority Level]:[Effective escalation ]])&lt;=1,"Fail",IF(MIN(Data_Table[[#This Row],[Grammar &amp; Syntax ]:[Quality of First Response]],Data_Table[[#This Row],[Priority Level]:[Effective escalation ]])=2,"Pass","Pass"))</f>
        <v>Pass</v>
      </c>
      <c r="AL158" s="6" t="str">
        <f>IF(Data_Table[[#This Row],[Attribute Fail Rate PF]]="Fail",1,"")</f>
        <v/>
      </c>
      <c r="AM158" s="6">
        <f>1</f>
        <v>1</v>
      </c>
      <c r="AN158" s="6" t="str">
        <f>IF(Data_Table[[#This Row],[Attribute Fail Rate PF]]="Fail",Data_Table[[#This Row],[Ticket ID]],"")</f>
        <v/>
      </c>
      <c r="AO158" s="6" t="str" cm="1">
        <f t="array" ref="AO158">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159" spans="1:42" ht="15" customHeight="1" x14ac:dyDescent="0.25">
      <c r="A159" s="11">
        <v>44872</v>
      </c>
      <c r="B159" s="2" t="s">
        <v>1</v>
      </c>
      <c r="C159" s="2">
        <f t="shared" si="4"/>
        <v>46</v>
      </c>
      <c r="D159" s="2">
        <f>MATCH(Data_Table[[#This Row],[Week]],_xlfn._xlws.SORT(_xlfn.UNIQUE(Data_Table[Week]),1,-1),0)</f>
        <v>2</v>
      </c>
      <c r="E159" s="2" t="str">
        <f>TEXT(Data_Table[[#This Row],[Date of the Ticket for Review]],"mmm")</f>
        <v>Nov</v>
      </c>
      <c r="F159" s="9">
        <v>884235</v>
      </c>
      <c r="G159" s="9" t="str">
        <f>VLOOKUP(F159,Agent_Table[],2,FALSE)</f>
        <v>Emmanuel Ehiman</v>
      </c>
      <c r="H159" s="9" t="str">
        <f>IFERROR(VLOOKUP(Data_Table[[#This Row],[Ticket ID]],Product_Table[],2,FALSE),"")</f>
        <v>Platforms &amp; API</v>
      </c>
      <c r="I159" s="4" t="s">
        <v>2</v>
      </c>
      <c r="J159" s="9">
        <v>3</v>
      </c>
      <c r="K159" s="9">
        <v>3</v>
      </c>
      <c r="L159" s="9">
        <v>3</v>
      </c>
      <c r="M159" s="9">
        <v>3</v>
      </c>
      <c r="N159" s="9">
        <v>3</v>
      </c>
      <c r="O159" s="9">
        <v>1</v>
      </c>
      <c r="P159" s="9">
        <v>3</v>
      </c>
      <c r="Q159" s="9">
        <v>3</v>
      </c>
      <c r="R159" s="6" t="s">
        <v>5</v>
      </c>
      <c r="S159" s="6" t="str">
        <f>IF(MIN(Data_Table[[#This Row],[Grammar &amp; Syntax ]:[Quality of First Response]])&lt;=1,"Fail",IF(MIN(Data_Table[[#This Row],[Grammar &amp; Syntax ]:[Quality of First Response]])=2,"Neutral","Pass"))</f>
        <v>Fail</v>
      </c>
      <c r="T159" s="6" t="str">
        <f>IF(MIN(Data_Table[[#This Row],[Grammar &amp; Syntax ]:[Quality of First Response]])&lt;=1,"Fail",IF(MIN(Data_Table[[#This Row],[Grammar &amp; Syntax ]:[Quality of First Response]])=2,"Pass","Pass"))</f>
        <v>Fail</v>
      </c>
      <c r="U159" s="6">
        <f>IF(Data_Table[[#This Row],[Compliance Critical PF]]="Fail",1,0)</f>
        <v>1</v>
      </c>
      <c r="V159" s="6"/>
      <c r="W159" s="1" t="s">
        <v>27</v>
      </c>
      <c r="X159" s="1" t="s">
        <v>27</v>
      </c>
      <c r="Y159" s="1" t="s">
        <v>27</v>
      </c>
      <c r="Z159" s="1" t="s">
        <v>27</v>
      </c>
      <c r="AA159" s="1" t="s">
        <v>27</v>
      </c>
      <c r="AB159" s="1" t="s">
        <v>27</v>
      </c>
      <c r="AC159" s="1" t="s">
        <v>27</v>
      </c>
      <c r="AD159" s="1" t="s">
        <v>27</v>
      </c>
      <c r="AE159" s="1" t="s">
        <v>27</v>
      </c>
      <c r="AF159" s="7" t="s">
        <v>27</v>
      </c>
      <c r="AG159" s="7" t="str">
        <f>IF(MIN(Data_Table[[#This Row],[Priority Level]:[Effective escalation ]])&lt;=1,"Fail",IF(MIN(Data_Table[[#This Row],[Priority Level]:[Effective escalation ]])=2,"Neutral","Pass"))</f>
        <v>Fail</v>
      </c>
      <c r="AH159" s="2" t="str">
        <f>IF(MIN(Data_Table[[#This Row],[Priority Level]:[Effective escalation ]])&lt;=1,"Fail",IF(MIN(Data_Table[[#This Row],[Priority Level]:[Effective escalation ]])=2,"Pass","Pass"))</f>
        <v>Fail</v>
      </c>
      <c r="AI159" s="2">
        <f>IF(Data_Table[[#This Row],[Business Critical PF]]="Fail",1,"")</f>
        <v>1</v>
      </c>
      <c r="AJ159" s="6" t="str">
        <f>IF(MIN(Data_Table[[#This Row],[Grammar &amp; Syntax ]:[Quality of First Response]],Data_Table[[#This Row],[Priority Level]:[Effective escalation ]])&lt;=1,"Fail",IF(MIN(Data_Table[[#This Row],[Grammar &amp; Syntax ]:[Quality of First Response]],Data_Table[[#This Row],[Priority Level]:[Effective escalation ]])=2,"Neutral","Pass"))</f>
        <v>Fail</v>
      </c>
      <c r="AK159" s="6" t="str">
        <f>IF(MIN(Data_Table[[#This Row],[Grammar &amp; Syntax ]:[Quality of First Response]],Data_Table[[#This Row],[Priority Level]:[Effective escalation ]])&lt;=1,"Fail",IF(MIN(Data_Table[[#This Row],[Grammar &amp; Syntax ]:[Quality of First Response]],Data_Table[[#This Row],[Priority Level]:[Effective escalation ]])=2,"Pass","Pass"))</f>
        <v>Fail</v>
      </c>
      <c r="AL159" s="6">
        <f>IF(Data_Table[[#This Row],[Attribute Fail Rate PF]]="Fail",1,"")</f>
        <v>1</v>
      </c>
      <c r="AM159" s="6">
        <f>1</f>
        <v>1</v>
      </c>
      <c r="AN159" s="6">
        <f>IF(Data_Table[[#This Row],[Attribute Fail Rate PF]]="Fail",Data_Table[[#This Row],[Ticket ID]],"")</f>
        <v>884235</v>
      </c>
      <c r="AO159" s="6" t="str" cm="1">
        <f t="array" ref="AO159">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Accountability &amp; Ownership</v>
      </c>
    </row>
    <row r="160" spans="1:42" ht="15" customHeight="1" x14ac:dyDescent="0.25">
      <c r="A160" s="11">
        <v>44872</v>
      </c>
      <c r="B160" s="2" t="s">
        <v>1</v>
      </c>
      <c r="C160" s="2">
        <f t="shared" si="4"/>
        <v>46</v>
      </c>
      <c r="D160" s="2">
        <f>MATCH(Data_Table[[#This Row],[Week]],_xlfn._xlws.SORT(_xlfn.UNIQUE(Data_Table[Week]),1,-1),0)</f>
        <v>2</v>
      </c>
      <c r="E160" s="2" t="str">
        <f>TEXT(Data_Table[[#This Row],[Date of the Ticket for Review]],"mmm")</f>
        <v>Nov</v>
      </c>
      <c r="F160" s="9">
        <v>884348</v>
      </c>
      <c r="G160" s="9" t="str">
        <f>VLOOKUP(F160,Agent_Table[],2,FALSE)</f>
        <v>Emmanuel Ehiman</v>
      </c>
      <c r="H160" s="9" t="str">
        <f>IFERROR(VLOOKUP(Data_Table[[#This Row],[Ticket ID]],Product_Table[],2,FALSE),"")</f>
        <v>Measurement</v>
      </c>
      <c r="I160" s="4" t="s">
        <v>2</v>
      </c>
      <c r="J160" s="9">
        <v>3</v>
      </c>
      <c r="K160" s="9">
        <v>3</v>
      </c>
      <c r="L160" s="9">
        <v>3</v>
      </c>
      <c r="M160" s="9">
        <v>3</v>
      </c>
      <c r="N160" s="9">
        <v>3</v>
      </c>
      <c r="O160" s="9">
        <v>1</v>
      </c>
      <c r="P160" s="9">
        <v>3</v>
      </c>
      <c r="Q160" s="9">
        <v>3</v>
      </c>
      <c r="R160" s="6" t="s">
        <v>5</v>
      </c>
      <c r="S160" s="6" t="str">
        <f>IF(MIN(Data_Table[[#This Row],[Grammar &amp; Syntax ]:[Quality of First Response]])&lt;=1,"Fail",IF(MIN(Data_Table[[#This Row],[Grammar &amp; Syntax ]:[Quality of First Response]])=2,"Neutral","Pass"))</f>
        <v>Fail</v>
      </c>
      <c r="T160" s="6" t="str">
        <f>IF(MIN(Data_Table[[#This Row],[Grammar &amp; Syntax ]:[Quality of First Response]])&lt;=1,"Fail",IF(MIN(Data_Table[[#This Row],[Grammar &amp; Syntax ]:[Quality of First Response]])=2,"Pass","Pass"))</f>
        <v>Fail</v>
      </c>
      <c r="U160" s="6">
        <f>IF(Data_Table[[#This Row],[Compliance Critical PF]]="Fail",1,0)</f>
        <v>1</v>
      </c>
      <c r="V160" s="6"/>
      <c r="W160" s="1" t="s">
        <v>27</v>
      </c>
      <c r="X160" s="1" t="s">
        <v>27</v>
      </c>
      <c r="Y160" s="1" t="s">
        <v>27</v>
      </c>
      <c r="Z160" s="1" t="s">
        <v>27</v>
      </c>
      <c r="AA160" s="1" t="s">
        <v>27</v>
      </c>
      <c r="AB160" s="1" t="s">
        <v>27</v>
      </c>
      <c r="AC160" s="1" t="s">
        <v>27</v>
      </c>
      <c r="AD160" s="1" t="s">
        <v>27</v>
      </c>
      <c r="AE160" s="1" t="s">
        <v>27</v>
      </c>
      <c r="AF160" s="7" t="s">
        <v>27</v>
      </c>
      <c r="AG160" s="7" t="str">
        <f>IF(MIN(Data_Table[[#This Row],[Priority Level]:[Effective escalation ]])&lt;=1,"Fail",IF(MIN(Data_Table[[#This Row],[Priority Level]:[Effective escalation ]])=2,"Neutral","Pass"))</f>
        <v>Fail</v>
      </c>
      <c r="AH160" s="2" t="str">
        <f>IF(MIN(Data_Table[[#This Row],[Priority Level]:[Effective escalation ]])&lt;=1,"Fail",IF(MIN(Data_Table[[#This Row],[Priority Level]:[Effective escalation ]])=2,"Pass","Pass"))</f>
        <v>Fail</v>
      </c>
      <c r="AI160" s="2">
        <f>IF(Data_Table[[#This Row],[Business Critical PF]]="Fail",1,"")</f>
        <v>1</v>
      </c>
      <c r="AJ160" s="6" t="str">
        <f>IF(MIN(Data_Table[[#This Row],[Grammar &amp; Syntax ]:[Quality of First Response]],Data_Table[[#This Row],[Priority Level]:[Effective escalation ]])&lt;=1,"Fail",IF(MIN(Data_Table[[#This Row],[Grammar &amp; Syntax ]:[Quality of First Response]],Data_Table[[#This Row],[Priority Level]:[Effective escalation ]])=2,"Neutral","Pass"))</f>
        <v>Fail</v>
      </c>
      <c r="AK160" s="6" t="str">
        <f>IF(MIN(Data_Table[[#This Row],[Grammar &amp; Syntax ]:[Quality of First Response]],Data_Table[[#This Row],[Priority Level]:[Effective escalation ]])&lt;=1,"Fail",IF(MIN(Data_Table[[#This Row],[Grammar &amp; Syntax ]:[Quality of First Response]],Data_Table[[#This Row],[Priority Level]:[Effective escalation ]])=2,"Pass","Pass"))</f>
        <v>Fail</v>
      </c>
      <c r="AL160" s="6">
        <f>IF(Data_Table[[#This Row],[Attribute Fail Rate PF]]="Fail",1,"")</f>
        <v>1</v>
      </c>
      <c r="AM160" s="6">
        <f>1</f>
        <v>1</v>
      </c>
      <c r="AN160" s="6">
        <f>IF(Data_Table[[#This Row],[Attribute Fail Rate PF]]="Fail",Data_Table[[#This Row],[Ticket ID]],"")</f>
        <v>884348</v>
      </c>
      <c r="AO160" s="6" t="str" cm="1">
        <f t="array" ref="AO160">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Accountability &amp; Ownership</v>
      </c>
    </row>
    <row r="161" spans="1:41" ht="15" customHeight="1" x14ac:dyDescent="0.25">
      <c r="A161" s="11">
        <v>44875</v>
      </c>
      <c r="B161" s="2" t="s">
        <v>1</v>
      </c>
      <c r="C161" s="2">
        <f t="shared" si="4"/>
        <v>46</v>
      </c>
      <c r="D161" s="2">
        <f>MATCH(Data_Table[[#This Row],[Week]],_xlfn._xlws.SORT(_xlfn.UNIQUE(Data_Table[Week]),1,-1),0)</f>
        <v>2</v>
      </c>
      <c r="E161" s="2" t="str">
        <f>TEXT(Data_Table[[#This Row],[Date of the Ticket for Review]],"mmm")</f>
        <v>Nov</v>
      </c>
      <c r="F161" s="9">
        <v>889257</v>
      </c>
      <c r="G161" s="9" t="str">
        <f>VLOOKUP(F161,Agent_Table[],2,FALSE)</f>
        <v>Oka Anazodo</v>
      </c>
      <c r="H161" s="9" t="str">
        <f>IFERROR(VLOOKUP(Data_Table[[#This Row],[Ticket ID]],Product_Table[],2,FALSE),"")</f>
        <v>Performance &amp; Delivery</v>
      </c>
      <c r="I161" s="4" t="s">
        <v>2</v>
      </c>
      <c r="J161" s="9">
        <v>3</v>
      </c>
      <c r="K161" s="9">
        <v>3</v>
      </c>
      <c r="L161" s="9">
        <v>3</v>
      </c>
      <c r="M161" s="9">
        <v>3</v>
      </c>
      <c r="N161" s="9">
        <v>3</v>
      </c>
      <c r="O161" s="9">
        <v>3</v>
      </c>
      <c r="P161" s="9">
        <v>3</v>
      </c>
      <c r="Q161" s="9">
        <v>3</v>
      </c>
      <c r="R161" s="6" t="s">
        <v>3</v>
      </c>
      <c r="S161" s="6" t="str">
        <f>IF(MIN(Data_Table[[#This Row],[Grammar &amp; Syntax ]:[Quality of First Response]])&lt;=1,"Fail",IF(MIN(Data_Table[[#This Row],[Grammar &amp; Syntax ]:[Quality of First Response]])=2,"Neutral","Pass"))</f>
        <v>Pass</v>
      </c>
      <c r="T161" s="6" t="str">
        <f>IF(MIN(Data_Table[[#This Row],[Grammar &amp; Syntax ]:[Quality of First Response]])&lt;=1,"Fail",IF(MIN(Data_Table[[#This Row],[Grammar &amp; Syntax ]:[Quality of First Response]])=2,"Pass","Pass"))</f>
        <v>Pass</v>
      </c>
      <c r="U161" s="6">
        <f>IF(Data_Table[[#This Row],[Compliance Critical PF]]="Fail",1,0)</f>
        <v>0</v>
      </c>
      <c r="V161" s="6"/>
      <c r="W161" s="1" t="s">
        <v>27</v>
      </c>
      <c r="X161" s="1" t="s">
        <v>27</v>
      </c>
      <c r="Y161" s="1" t="s">
        <v>27</v>
      </c>
      <c r="Z161" s="1" t="s">
        <v>27</v>
      </c>
      <c r="AA161" s="1" t="s">
        <v>27</v>
      </c>
      <c r="AB161" s="1" t="s">
        <v>27</v>
      </c>
      <c r="AC161" s="1" t="s">
        <v>27</v>
      </c>
      <c r="AD161" s="1" t="s">
        <v>27</v>
      </c>
      <c r="AE161" s="1" t="s">
        <v>27</v>
      </c>
      <c r="AF161" s="7" t="s">
        <v>27</v>
      </c>
      <c r="AG161" s="7" t="str">
        <f>IF(MIN(Data_Table[[#This Row],[Priority Level]:[Effective escalation ]])&lt;=1,"Fail",IF(MIN(Data_Table[[#This Row],[Priority Level]:[Effective escalation ]])=2,"Neutral","Pass"))</f>
        <v>Fail</v>
      </c>
      <c r="AH161" s="2" t="str">
        <f>IF(MIN(Data_Table[[#This Row],[Priority Level]:[Effective escalation ]])&lt;=1,"Fail",IF(MIN(Data_Table[[#This Row],[Priority Level]:[Effective escalation ]])=2,"Pass","Pass"))</f>
        <v>Fail</v>
      </c>
      <c r="AI161" s="2">
        <f>IF(Data_Table[[#This Row],[Business Critical PF]]="Fail",1,"")</f>
        <v>1</v>
      </c>
      <c r="AJ161" s="6"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161" s="6" t="str">
        <f>IF(MIN(Data_Table[[#This Row],[Grammar &amp; Syntax ]:[Quality of First Response]],Data_Table[[#This Row],[Priority Level]:[Effective escalation ]])&lt;=1,"Fail",IF(MIN(Data_Table[[#This Row],[Grammar &amp; Syntax ]:[Quality of First Response]],Data_Table[[#This Row],[Priority Level]:[Effective escalation ]])=2,"Pass","Pass"))</f>
        <v>Pass</v>
      </c>
      <c r="AL161" s="6" t="str">
        <f>IF(Data_Table[[#This Row],[Attribute Fail Rate PF]]="Fail",1,"")</f>
        <v/>
      </c>
      <c r="AM161" s="6">
        <f>1</f>
        <v>1</v>
      </c>
      <c r="AN161" s="6" t="str">
        <f>IF(Data_Table[[#This Row],[Attribute Fail Rate PF]]="Fail",Data_Table[[#This Row],[Ticket ID]],"")</f>
        <v/>
      </c>
      <c r="AO161" s="6" t="str" cm="1">
        <f t="array" ref="AO161">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162" spans="1:41" ht="15" customHeight="1" x14ac:dyDescent="0.25">
      <c r="A162" s="11">
        <v>44873</v>
      </c>
      <c r="B162" s="2" t="s">
        <v>1</v>
      </c>
      <c r="C162" s="2">
        <f t="shared" si="4"/>
        <v>46</v>
      </c>
      <c r="D162" s="2">
        <f>MATCH(Data_Table[[#This Row],[Week]],_xlfn._xlws.SORT(_xlfn.UNIQUE(Data_Table[Week]),1,-1),0)</f>
        <v>2</v>
      </c>
      <c r="E162" s="2" t="str">
        <f>TEXT(Data_Table[[#This Row],[Date of the Ticket for Review]],"mmm")</f>
        <v>Nov</v>
      </c>
      <c r="F162" s="9">
        <v>885770</v>
      </c>
      <c r="G162" s="9" t="str">
        <f>VLOOKUP(F162,Agent_Table[],2,FALSE)</f>
        <v>Oka Anazodo</v>
      </c>
      <c r="H162" s="9" t="str">
        <f>IFERROR(VLOOKUP(Data_Table[[#This Row],[Ticket ID]],Product_Table[],2,FALSE),"")</f>
        <v>Measurement</v>
      </c>
      <c r="I162" s="4" t="s">
        <v>2</v>
      </c>
      <c r="J162" s="9">
        <v>3</v>
      </c>
      <c r="K162" s="9">
        <v>3</v>
      </c>
      <c r="L162" s="9">
        <v>3</v>
      </c>
      <c r="M162" s="9">
        <v>3</v>
      </c>
      <c r="N162" s="9">
        <v>3</v>
      </c>
      <c r="O162" s="9">
        <v>3</v>
      </c>
      <c r="P162" s="9">
        <v>3</v>
      </c>
      <c r="Q162" s="9">
        <v>3</v>
      </c>
      <c r="R162" s="6" t="s">
        <v>3</v>
      </c>
      <c r="S162" s="6" t="str">
        <f>IF(MIN(Data_Table[[#This Row],[Grammar &amp; Syntax ]:[Quality of First Response]])&lt;=1,"Fail",IF(MIN(Data_Table[[#This Row],[Grammar &amp; Syntax ]:[Quality of First Response]])=2,"Neutral","Pass"))</f>
        <v>Pass</v>
      </c>
      <c r="T162" s="6" t="str">
        <f>IF(MIN(Data_Table[[#This Row],[Grammar &amp; Syntax ]:[Quality of First Response]])&lt;=1,"Fail",IF(MIN(Data_Table[[#This Row],[Grammar &amp; Syntax ]:[Quality of First Response]])=2,"Pass","Pass"))</f>
        <v>Pass</v>
      </c>
      <c r="U162" s="6">
        <f>IF(Data_Table[[#This Row],[Compliance Critical PF]]="Fail",1,0)</f>
        <v>0</v>
      </c>
      <c r="V162" s="6"/>
      <c r="W162" s="1" t="s">
        <v>27</v>
      </c>
      <c r="X162" s="1" t="s">
        <v>27</v>
      </c>
      <c r="Y162" s="1" t="s">
        <v>27</v>
      </c>
      <c r="Z162" s="1" t="s">
        <v>27</v>
      </c>
      <c r="AA162" s="1" t="s">
        <v>27</v>
      </c>
      <c r="AB162" s="1" t="s">
        <v>27</v>
      </c>
      <c r="AC162" s="1" t="s">
        <v>27</v>
      </c>
      <c r="AD162" s="1" t="s">
        <v>27</v>
      </c>
      <c r="AE162" s="1" t="s">
        <v>27</v>
      </c>
      <c r="AF162" s="7" t="s">
        <v>27</v>
      </c>
      <c r="AG162" s="7" t="str">
        <f>IF(MIN(Data_Table[[#This Row],[Priority Level]:[Effective escalation ]])&lt;=1,"Fail",IF(MIN(Data_Table[[#This Row],[Priority Level]:[Effective escalation ]])=2,"Neutral","Pass"))</f>
        <v>Fail</v>
      </c>
      <c r="AH162" s="2" t="str">
        <f>IF(MIN(Data_Table[[#This Row],[Priority Level]:[Effective escalation ]])&lt;=1,"Fail",IF(MIN(Data_Table[[#This Row],[Priority Level]:[Effective escalation ]])=2,"Pass","Pass"))</f>
        <v>Fail</v>
      </c>
      <c r="AI162" s="2">
        <f>IF(Data_Table[[#This Row],[Business Critical PF]]="Fail",1,"")</f>
        <v>1</v>
      </c>
      <c r="AJ162" s="6" t="str">
        <f>IF(MIN(Data_Table[[#This Row],[Grammar &amp; Syntax ]:[Quality of First Response]],Data_Table[[#This Row],[Priority Level]:[Effective escalation ]])&lt;=1,"Fail",IF(MIN(Data_Table[[#This Row],[Grammar &amp; Syntax ]:[Quality of First Response]],Data_Table[[#This Row],[Priority Level]:[Effective escalation ]])=2,"Neutral","Pass"))</f>
        <v>Pass</v>
      </c>
      <c r="AK162" s="6" t="str">
        <f>IF(MIN(Data_Table[[#This Row],[Grammar &amp; Syntax ]:[Quality of First Response]],Data_Table[[#This Row],[Priority Level]:[Effective escalation ]])&lt;=1,"Fail",IF(MIN(Data_Table[[#This Row],[Grammar &amp; Syntax ]:[Quality of First Response]],Data_Table[[#This Row],[Priority Level]:[Effective escalation ]])=2,"Pass","Pass"))</f>
        <v>Pass</v>
      </c>
      <c r="AL162" s="6" t="str">
        <f>IF(Data_Table[[#This Row],[Attribute Fail Rate PF]]="Fail",1,"")</f>
        <v/>
      </c>
      <c r="AM162" s="6">
        <f>1</f>
        <v>1</v>
      </c>
      <c r="AN162" s="6" t="str">
        <f>IF(Data_Table[[#This Row],[Attribute Fail Rate PF]]="Fail",Data_Table[[#This Row],[Ticket ID]],"")</f>
        <v/>
      </c>
      <c r="AO162" s="6" t="str" cm="1">
        <f t="array" ref="AO162">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163" spans="1:41" x14ac:dyDescent="0.25">
      <c r="A163" s="72">
        <v>44805</v>
      </c>
      <c r="B163" s="73" t="s">
        <v>6</v>
      </c>
      <c r="C163" s="71">
        <f t="shared" ref="C163:C168" si="5">WEEKNUM(A163)</f>
        <v>36</v>
      </c>
      <c r="D163" s="71">
        <f>MATCH(Data_Table[[#This Row],[Week]],_xlfn._xlws.SORT(_xlfn.UNIQUE(Data_Table[Week]),1,-1),0)</f>
        <v>5</v>
      </c>
      <c r="E163" s="71" t="str">
        <f>TEXT(Data_Table[[#This Row],[Date of the Ticket for Review]],"mmm")</f>
        <v>Sep</v>
      </c>
      <c r="F163" s="73"/>
      <c r="G163" s="71"/>
      <c r="H163" s="71"/>
      <c r="I163" s="74"/>
      <c r="J163" s="73"/>
      <c r="K163" s="73"/>
      <c r="L163" s="73"/>
      <c r="M163" s="73"/>
      <c r="N163" s="73"/>
      <c r="O163" s="73"/>
      <c r="P163" s="73"/>
      <c r="Q163" s="73"/>
      <c r="R163" s="73"/>
      <c r="S163" s="76" t="str">
        <f>IF(MIN(Data_Table[[#This Row],[Grammar &amp; Syntax ]:[Quality of First Response]])&lt;=1,"Fail",IF(MIN(Data_Table[[#This Row],[Grammar &amp; Syntax ]:[Quality of First Response]])=2,"Neutral","Pass"))</f>
        <v>Fail</v>
      </c>
      <c r="T163" s="76" t="str">
        <f>IF(MIN(Data_Table[[#This Row],[Grammar &amp; Syntax ]:[Quality of First Response]])&lt;=1,"Fail",IF(MIN(Data_Table[[#This Row],[Grammar &amp; Syntax ]:[Quality of First Response]])=2,"Pass","Pass"))</f>
        <v>Fail</v>
      </c>
      <c r="U163" s="76">
        <f>IF(Data_Table[[#This Row],[Compliance Critical PF]]="Fail",1,0)</f>
        <v>1</v>
      </c>
      <c r="V163" s="75"/>
      <c r="W163" s="73"/>
      <c r="X163" s="73"/>
      <c r="Y163" s="73"/>
      <c r="Z163" s="73"/>
      <c r="AA163" s="73"/>
      <c r="AB163" s="73"/>
      <c r="AC163" s="73"/>
      <c r="AD163" s="73"/>
      <c r="AE163" s="73"/>
      <c r="AF163" s="73"/>
      <c r="AG163" s="77" t="str">
        <f>IF(MIN(Data_Table[[#This Row],[Priority Level]:[Effective escalation ]])&lt;=1,"Fail",IF(MIN(Data_Table[[#This Row],[Priority Level]:[Effective escalation ]])=2,"Neutral","Pass"))</f>
        <v>Fail</v>
      </c>
      <c r="AH163" s="71" t="str">
        <f>IF(MIN(Data_Table[[#This Row],[Priority Level]:[Effective escalation ]])&lt;=1,"Fail",IF(MIN(Data_Table[[#This Row],[Priority Level]:[Effective escalation ]])=2,"Pass","Pass"))</f>
        <v>Fail</v>
      </c>
      <c r="AI163" s="71">
        <f>IF(Data_Table[[#This Row],[Business Critical PF]]="Fail",1,"")</f>
        <v>1</v>
      </c>
      <c r="AJ163" s="76" t="str">
        <f>IF(MIN(Data_Table[[#This Row],[Grammar &amp; Syntax ]:[Quality of First Response]],Data_Table[[#This Row],[Priority Level]:[Effective escalation ]])&lt;=1,"Fail",IF(MIN(Data_Table[[#This Row],[Grammar &amp; Syntax ]:[Quality of First Response]],Data_Table[[#This Row],[Priority Level]:[Effective escalation ]])=2,"Neutral","Pass"))</f>
        <v>Fail</v>
      </c>
      <c r="AK163" s="76" t="str">
        <f>IF(MIN(Data_Table[[#This Row],[Grammar &amp; Syntax ]:[Quality of First Response]],Data_Table[[#This Row],[Priority Level]:[Effective escalation ]])&lt;=1,"Fail",IF(MIN(Data_Table[[#This Row],[Grammar &amp; Syntax ]:[Quality of First Response]],Data_Table[[#This Row],[Priority Level]:[Effective escalation ]])=2,"Pass","Pass"))</f>
        <v>Fail</v>
      </c>
      <c r="AL163" s="76">
        <f>IF(Data_Table[[#This Row],[Attribute Fail Rate PF]]="Fail",1,"")</f>
        <v>1</v>
      </c>
      <c r="AM163" s="76">
        <f>1</f>
        <v>1</v>
      </c>
      <c r="AN163" s="76">
        <f>IF(Data_Table[[#This Row],[Attribute Fail Rate PF]]="Fail",Data_Table[[#This Row],[Ticket ID]],"")</f>
        <v>0</v>
      </c>
      <c r="AO163" s="76" t="str" cm="1">
        <f t="array" ref="AO163">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164" spans="1:41" x14ac:dyDescent="0.25">
      <c r="A164" s="72">
        <v>44774</v>
      </c>
      <c r="B164" s="73" t="s">
        <v>6</v>
      </c>
      <c r="C164" s="71">
        <f t="shared" si="5"/>
        <v>32</v>
      </c>
      <c r="D164" s="71">
        <f>MATCH(Data_Table[[#This Row],[Week]],_xlfn._xlws.SORT(_xlfn.UNIQUE(Data_Table[Week]),1,-1),0)</f>
        <v>6</v>
      </c>
      <c r="E164" s="71" t="str">
        <f>TEXT(Data_Table[[#This Row],[Date of the Ticket for Review]],"mmm")</f>
        <v>Aug</v>
      </c>
      <c r="F164" s="73"/>
      <c r="G164" s="71"/>
      <c r="H164" s="71"/>
      <c r="I164" s="74"/>
      <c r="J164" s="73"/>
      <c r="K164" s="73"/>
      <c r="L164" s="73"/>
      <c r="M164" s="73"/>
      <c r="N164" s="73"/>
      <c r="O164" s="73"/>
      <c r="P164" s="73"/>
      <c r="Q164" s="73"/>
      <c r="R164" s="73"/>
      <c r="S164" s="76" t="str">
        <f>IF(MIN(Data_Table[[#This Row],[Grammar &amp; Syntax ]:[Quality of First Response]])&lt;=1,"Fail",IF(MIN(Data_Table[[#This Row],[Grammar &amp; Syntax ]:[Quality of First Response]])=2,"Neutral","Pass"))</f>
        <v>Fail</v>
      </c>
      <c r="T164" s="76" t="str">
        <f>IF(MIN(Data_Table[[#This Row],[Grammar &amp; Syntax ]:[Quality of First Response]])&lt;=1,"Fail",IF(MIN(Data_Table[[#This Row],[Grammar &amp; Syntax ]:[Quality of First Response]])=2,"Pass","Pass"))</f>
        <v>Fail</v>
      </c>
      <c r="U164" s="76">
        <f>IF(Data_Table[[#This Row],[Compliance Critical PF]]="Fail",1,0)</f>
        <v>1</v>
      </c>
      <c r="V164" s="75"/>
      <c r="W164" s="73"/>
      <c r="X164" s="73"/>
      <c r="Y164" s="73"/>
      <c r="Z164" s="73"/>
      <c r="AA164" s="73"/>
      <c r="AB164" s="73"/>
      <c r="AC164" s="73"/>
      <c r="AD164" s="73"/>
      <c r="AE164" s="73"/>
      <c r="AF164" s="73"/>
      <c r="AG164" s="77" t="str">
        <f>IF(MIN(Data_Table[[#This Row],[Priority Level]:[Effective escalation ]])&lt;=1,"Fail",IF(MIN(Data_Table[[#This Row],[Priority Level]:[Effective escalation ]])=2,"Neutral","Pass"))</f>
        <v>Fail</v>
      </c>
      <c r="AH164" s="71" t="str">
        <f>IF(MIN(Data_Table[[#This Row],[Priority Level]:[Effective escalation ]])&lt;=1,"Fail",IF(MIN(Data_Table[[#This Row],[Priority Level]:[Effective escalation ]])=2,"Pass","Pass"))</f>
        <v>Fail</v>
      </c>
      <c r="AI164" s="71">
        <f>IF(Data_Table[[#This Row],[Business Critical PF]]="Fail",1,"")</f>
        <v>1</v>
      </c>
      <c r="AJ164" s="76" t="str">
        <f>IF(MIN(Data_Table[[#This Row],[Grammar &amp; Syntax ]:[Quality of First Response]],Data_Table[[#This Row],[Priority Level]:[Effective escalation ]])&lt;=1,"Fail",IF(MIN(Data_Table[[#This Row],[Grammar &amp; Syntax ]:[Quality of First Response]],Data_Table[[#This Row],[Priority Level]:[Effective escalation ]])=2,"Neutral","Pass"))</f>
        <v>Fail</v>
      </c>
      <c r="AK164" s="76" t="str">
        <f>IF(MIN(Data_Table[[#This Row],[Grammar &amp; Syntax ]:[Quality of First Response]],Data_Table[[#This Row],[Priority Level]:[Effective escalation ]])&lt;=1,"Fail",IF(MIN(Data_Table[[#This Row],[Grammar &amp; Syntax ]:[Quality of First Response]],Data_Table[[#This Row],[Priority Level]:[Effective escalation ]])=2,"Pass","Pass"))</f>
        <v>Fail</v>
      </c>
      <c r="AL164" s="76">
        <f>IF(Data_Table[[#This Row],[Attribute Fail Rate PF]]="Fail",1,"")</f>
        <v>1</v>
      </c>
      <c r="AM164" s="76">
        <f>1</f>
        <v>1</v>
      </c>
      <c r="AN164" s="76">
        <f>IF(Data_Table[[#This Row],[Attribute Fail Rate PF]]="Fail",Data_Table[[#This Row],[Ticket ID]],"")</f>
        <v>0</v>
      </c>
      <c r="AO164" s="76" t="str" cm="1">
        <f t="array" ref="AO164">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165" spans="1:41" x14ac:dyDescent="0.25">
      <c r="A165" s="72">
        <v>44743</v>
      </c>
      <c r="B165" s="73" t="s">
        <v>6</v>
      </c>
      <c r="C165" s="71">
        <f t="shared" si="5"/>
        <v>27</v>
      </c>
      <c r="D165" s="71">
        <f>MATCH(Data_Table[[#This Row],[Week]],_xlfn._xlws.SORT(_xlfn.UNIQUE(Data_Table[Week]),1,-1),0)</f>
        <v>7</v>
      </c>
      <c r="E165" s="71" t="str">
        <f>TEXT(Data_Table[[#This Row],[Date of the Ticket for Review]],"mmm")</f>
        <v>Jul</v>
      </c>
      <c r="F165" s="73"/>
      <c r="G165" s="71"/>
      <c r="H165" s="71"/>
      <c r="I165" s="74"/>
      <c r="J165" s="73"/>
      <c r="K165" s="73"/>
      <c r="L165" s="73"/>
      <c r="M165" s="73"/>
      <c r="N165" s="73"/>
      <c r="O165" s="73"/>
      <c r="P165" s="73"/>
      <c r="Q165" s="73"/>
      <c r="R165" s="73"/>
      <c r="S165" s="76" t="str">
        <f>IF(MIN(Data_Table[[#This Row],[Grammar &amp; Syntax ]:[Quality of First Response]])&lt;=1,"Fail",IF(MIN(Data_Table[[#This Row],[Grammar &amp; Syntax ]:[Quality of First Response]])=2,"Neutral","Pass"))</f>
        <v>Fail</v>
      </c>
      <c r="T165" s="76" t="str">
        <f>IF(MIN(Data_Table[[#This Row],[Grammar &amp; Syntax ]:[Quality of First Response]])&lt;=1,"Fail",IF(MIN(Data_Table[[#This Row],[Grammar &amp; Syntax ]:[Quality of First Response]])=2,"Pass","Pass"))</f>
        <v>Fail</v>
      </c>
      <c r="U165" s="76">
        <f>IF(Data_Table[[#This Row],[Compliance Critical PF]]="Fail",1,0)</f>
        <v>1</v>
      </c>
      <c r="V165" s="75"/>
      <c r="W165" s="73"/>
      <c r="X165" s="73"/>
      <c r="Y165" s="73"/>
      <c r="Z165" s="73"/>
      <c r="AA165" s="73"/>
      <c r="AB165" s="73"/>
      <c r="AC165" s="73"/>
      <c r="AD165" s="73"/>
      <c r="AE165" s="73"/>
      <c r="AF165" s="73"/>
      <c r="AG165" s="77" t="str">
        <f>IF(MIN(Data_Table[[#This Row],[Priority Level]:[Effective escalation ]])&lt;=1,"Fail",IF(MIN(Data_Table[[#This Row],[Priority Level]:[Effective escalation ]])=2,"Neutral","Pass"))</f>
        <v>Fail</v>
      </c>
      <c r="AH165" s="71" t="str">
        <f>IF(MIN(Data_Table[[#This Row],[Priority Level]:[Effective escalation ]])&lt;=1,"Fail",IF(MIN(Data_Table[[#This Row],[Priority Level]:[Effective escalation ]])=2,"Pass","Pass"))</f>
        <v>Fail</v>
      </c>
      <c r="AI165" s="71">
        <f>IF(Data_Table[[#This Row],[Business Critical PF]]="Fail",1,"")</f>
        <v>1</v>
      </c>
      <c r="AJ165" s="76" t="str">
        <f>IF(MIN(Data_Table[[#This Row],[Grammar &amp; Syntax ]:[Quality of First Response]],Data_Table[[#This Row],[Priority Level]:[Effective escalation ]])&lt;=1,"Fail",IF(MIN(Data_Table[[#This Row],[Grammar &amp; Syntax ]:[Quality of First Response]],Data_Table[[#This Row],[Priority Level]:[Effective escalation ]])=2,"Neutral","Pass"))</f>
        <v>Fail</v>
      </c>
      <c r="AK165" s="76" t="str">
        <f>IF(MIN(Data_Table[[#This Row],[Grammar &amp; Syntax ]:[Quality of First Response]],Data_Table[[#This Row],[Priority Level]:[Effective escalation ]])&lt;=1,"Fail",IF(MIN(Data_Table[[#This Row],[Grammar &amp; Syntax ]:[Quality of First Response]],Data_Table[[#This Row],[Priority Level]:[Effective escalation ]])=2,"Pass","Pass"))</f>
        <v>Fail</v>
      </c>
      <c r="AL165" s="76">
        <f>IF(Data_Table[[#This Row],[Attribute Fail Rate PF]]="Fail",1,"")</f>
        <v>1</v>
      </c>
      <c r="AM165" s="76">
        <f>1</f>
        <v>1</v>
      </c>
      <c r="AN165" s="76">
        <f>IF(Data_Table[[#This Row],[Attribute Fail Rate PF]]="Fail",Data_Table[[#This Row],[Ticket ID]],"")</f>
        <v>0</v>
      </c>
      <c r="AO165" s="76" t="str" cm="1">
        <f t="array" ref="AO165">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166" spans="1:41" x14ac:dyDescent="0.25">
      <c r="A166" s="72">
        <v>44713</v>
      </c>
      <c r="B166" s="73" t="s">
        <v>6</v>
      </c>
      <c r="C166" s="71">
        <f t="shared" si="5"/>
        <v>23</v>
      </c>
      <c r="D166" s="71">
        <f>MATCH(Data_Table[[#This Row],[Week]],_xlfn._xlws.SORT(_xlfn.UNIQUE(Data_Table[Week]),1,-1),0)</f>
        <v>8</v>
      </c>
      <c r="E166" s="71" t="str">
        <f>TEXT(Data_Table[[#This Row],[Date of the Ticket for Review]],"mmm")</f>
        <v>Jun</v>
      </c>
      <c r="F166" s="73"/>
      <c r="G166" s="71"/>
      <c r="H166" s="71"/>
      <c r="I166" s="74"/>
      <c r="J166" s="73"/>
      <c r="K166" s="73"/>
      <c r="L166" s="73"/>
      <c r="M166" s="73"/>
      <c r="N166" s="73"/>
      <c r="O166" s="73"/>
      <c r="P166" s="73"/>
      <c r="Q166" s="73"/>
      <c r="R166" s="73"/>
      <c r="S166" s="76" t="str">
        <f>IF(MIN(Data_Table[[#This Row],[Grammar &amp; Syntax ]:[Quality of First Response]])&lt;=1,"Fail",IF(MIN(Data_Table[[#This Row],[Grammar &amp; Syntax ]:[Quality of First Response]])=2,"Neutral","Pass"))</f>
        <v>Fail</v>
      </c>
      <c r="T166" s="76" t="str">
        <f>IF(MIN(Data_Table[[#This Row],[Grammar &amp; Syntax ]:[Quality of First Response]])&lt;=1,"Fail",IF(MIN(Data_Table[[#This Row],[Grammar &amp; Syntax ]:[Quality of First Response]])=2,"Pass","Pass"))</f>
        <v>Fail</v>
      </c>
      <c r="U166" s="76">
        <f>IF(Data_Table[[#This Row],[Compliance Critical PF]]="Fail",1,0)</f>
        <v>1</v>
      </c>
      <c r="V166" s="75"/>
      <c r="W166" s="73"/>
      <c r="X166" s="73"/>
      <c r="Y166" s="73"/>
      <c r="Z166" s="73"/>
      <c r="AA166" s="73"/>
      <c r="AB166" s="73"/>
      <c r="AC166" s="73"/>
      <c r="AD166" s="73"/>
      <c r="AE166" s="73"/>
      <c r="AF166" s="73"/>
      <c r="AG166" s="77" t="str">
        <f>IF(MIN(Data_Table[[#This Row],[Priority Level]:[Effective escalation ]])&lt;=1,"Fail",IF(MIN(Data_Table[[#This Row],[Priority Level]:[Effective escalation ]])=2,"Neutral","Pass"))</f>
        <v>Fail</v>
      </c>
      <c r="AH166" s="71" t="str">
        <f>IF(MIN(Data_Table[[#This Row],[Priority Level]:[Effective escalation ]])&lt;=1,"Fail",IF(MIN(Data_Table[[#This Row],[Priority Level]:[Effective escalation ]])=2,"Pass","Pass"))</f>
        <v>Fail</v>
      </c>
      <c r="AI166" s="71">
        <f>IF(Data_Table[[#This Row],[Business Critical PF]]="Fail",1,"")</f>
        <v>1</v>
      </c>
      <c r="AJ166" s="76" t="str">
        <f>IF(MIN(Data_Table[[#This Row],[Grammar &amp; Syntax ]:[Quality of First Response]],Data_Table[[#This Row],[Priority Level]:[Effective escalation ]])&lt;=1,"Fail",IF(MIN(Data_Table[[#This Row],[Grammar &amp; Syntax ]:[Quality of First Response]],Data_Table[[#This Row],[Priority Level]:[Effective escalation ]])=2,"Neutral","Pass"))</f>
        <v>Fail</v>
      </c>
      <c r="AK166" s="76" t="str">
        <f>IF(MIN(Data_Table[[#This Row],[Grammar &amp; Syntax ]:[Quality of First Response]],Data_Table[[#This Row],[Priority Level]:[Effective escalation ]])&lt;=1,"Fail",IF(MIN(Data_Table[[#This Row],[Grammar &amp; Syntax ]:[Quality of First Response]],Data_Table[[#This Row],[Priority Level]:[Effective escalation ]])=2,"Pass","Pass"))</f>
        <v>Fail</v>
      </c>
      <c r="AL166" s="76">
        <f>IF(Data_Table[[#This Row],[Attribute Fail Rate PF]]="Fail",1,"")</f>
        <v>1</v>
      </c>
      <c r="AM166" s="76">
        <f>1</f>
        <v>1</v>
      </c>
      <c r="AN166" s="76">
        <f>IF(Data_Table[[#This Row],[Attribute Fail Rate PF]]="Fail",Data_Table[[#This Row],[Ticket ID]],"")</f>
        <v>0</v>
      </c>
      <c r="AO166" s="76" t="str" cm="1">
        <f t="array" ref="AO166">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167" spans="1:41" x14ac:dyDescent="0.25">
      <c r="A167" s="72">
        <v>44682</v>
      </c>
      <c r="B167" s="73" t="s">
        <v>6</v>
      </c>
      <c r="C167" s="71">
        <f t="shared" si="5"/>
        <v>19</v>
      </c>
      <c r="D167" s="71">
        <f>MATCH(Data_Table[[#This Row],[Week]],_xlfn._xlws.SORT(_xlfn.UNIQUE(Data_Table[Week]),1,-1),0)</f>
        <v>9</v>
      </c>
      <c r="E167" s="71" t="str">
        <f>TEXT(Data_Table[[#This Row],[Date of the Ticket for Review]],"mmm")</f>
        <v>May</v>
      </c>
      <c r="F167" s="73"/>
      <c r="G167" s="71"/>
      <c r="H167" s="71"/>
      <c r="I167" s="74"/>
      <c r="J167" s="73"/>
      <c r="K167" s="73"/>
      <c r="L167" s="73"/>
      <c r="M167" s="73"/>
      <c r="N167" s="73"/>
      <c r="O167" s="73"/>
      <c r="P167" s="73"/>
      <c r="Q167" s="73"/>
      <c r="R167" s="73"/>
      <c r="S167" s="76" t="str">
        <f>IF(MIN(Data_Table[[#This Row],[Grammar &amp; Syntax ]:[Quality of First Response]])&lt;=1,"Fail",IF(MIN(Data_Table[[#This Row],[Grammar &amp; Syntax ]:[Quality of First Response]])=2,"Neutral","Pass"))</f>
        <v>Fail</v>
      </c>
      <c r="T167" s="76" t="str">
        <f>IF(MIN(Data_Table[[#This Row],[Grammar &amp; Syntax ]:[Quality of First Response]])&lt;=1,"Fail",IF(MIN(Data_Table[[#This Row],[Grammar &amp; Syntax ]:[Quality of First Response]])=2,"Pass","Pass"))</f>
        <v>Fail</v>
      </c>
      <c r="U167" s="76">
        <f>IF(Data_Table[[#This Row],[Compliance Critical PF]]="Fail",1,0)</f>
        <v>1</v>
      </c>
      <c r="V167" s="75"/>
      <c r="W167" s="73"/>
      <c r="X167" s="73"/>
      <c r="Y167" s="73"/>
      <c r="Z167" s="73"/>
      <c r="AA167" s="73"/>
      <c r="AB167" s="73"/>
      <c r="AC167" s="73"/>
      <c r="AD167" s="73"/>
      <c r="AE167" s="73"/>
      <c r="AF167" s="73"/>
      <c r="AG167" s="77" t="str">
        <f>IF(MIN(Data_Table[[#This Row],[Priority Level]:[Effective escalation ]])&lt;=1,"Fail",IF(MIN(Data_Table[[#This Row],[Priority Level]:[Effective escalation ]])=2,"Neutral","Pass"))</f>
        <v>Fail</v>
      </c>
      <c r="AH167" s="71" t="str">
        <f>IF(MIN(Data_Table[[#This Row],[Priority Level]:[Effective escalation ]])&lt;=1,"Fail",IF(MIN(Data_Table[[#This Row],[Priority Level]:[Effective escalation ]])=2,"Pass","Pass"))</f>
        <v>Fail</v>
      </c>
      <c r="AI167" s="71">
        <f>IF(Data_Table[[#This Row],[Business Critical PF]]="Fail",1,"")</f>
        <v>1</v>
      </c>
      <c r="AJ167" s="76" t="str">
        <f>IF(MIN(Data_Table[[#This Row],[Grammar &amp; Syntax ]:[Quality of First Response]],Data_Table[[#This Row],[Priority Level]:[Effective escalation ]])&lt;=1,"Fail",IF(MIN(Data_Table[[#This Row],[Grammar &amp; Syntax ]:[Quality of First Response]],Data_Table[[#This Row],[Priority Level]:[Effective escalation ]])=2,"Neutral","Pass"))</f>
        <v>Fail</v>
      </c>
      <c r="AK167" s="76" t="str">
        <f>IF(MIN(Data_Table[[#This Row],[Grammar &amp; Syntax ]:[Quality of First Response]],Data_Table[[#This Row],[Priority Level]:[Effective escalation ]])&lt;=1,"Fail",IF(MIN(Data_Table[[#This Row],[Grammar &amp; Syntax ]:[Quality of First Response]],Data_Table[[#This Row],[Priority Level]:[Effective escalation ]])=2,"Pass","Pass"))</f>
        <v>Fail</v>
      </c>
      <c r="AL167" s="76">
        <f>IF(Data_Table[[#This Row],[Attribute Fail Rate PF]]="Fail",1,"")</f>
        <v>1</v>
      </c>
      <c r="AM167" s="76">
        <f>1</f>
        <v>1</v>
      </c>
      <c r="AN167" s="76">
        <f>IF(Data_Table[[#This Row],[Attribute Fail Rate PF]]="Fail",Data_Table[[#This Row],[Ticket ID]],"")</f>
        <v>0</v>
      </c>
      <c r="AO167" s="76" t="str" cm="1">
        <f t="array" ref="AO167">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row r="168" spans="1:41" x14ac:dyDescent="0.25">
      <c r="A168" s="72">
        <v>44652</v>
      </c>
      <c r="B168" s="73" t="s">
        <v>6</v>
      </c>
      <c r="C168" s="71">
        <f t="shared" si="5"/>
        <v>14</v>
      </c>
      <c r="D168" s="71">
        <f>MATCH(Data_Table[[#This Row],[Week]],_xlfn._xlws.SORT(_xlfn.UNIQUE(Data_Table[Week]),1,-1),0)</f>
        <v>10</v>
      </c>
      <c r="E168" s="71" t="str">
        <f>TEXT(Data_Table[[#This Row],[Date of the Ticket for Review]],"mmm")</f>
        <v>Apr</v>
      </c>
      <c r="F168" s="73"/>
      <c r="G168" s="71"/>
      <c r="H168" s="71"/>
      <c r="I168" s="74"/>
      <c r="J168" s="73"/>
      <c r="K168" s="73"/>
      <c r="L168" s="73"/>
      <c r="M168" s="73"/>
      <c r="N168" s="73"/>
      <c r="O168" s="73"/>
      <c r="P168" s="73"/>
      <c r="Q168" s="73"/>
      <c r="R168" s="73"/>
      <c r="S168" s="76" t="str">
        <f>IF(MIN(Data_Table[[#This Row],[Grammar &amp; Syntax ]:[Quality of First Response]])&lt;=1,"Fail",IF(MIN(Data_Table[[#This Row],[Grammar &amp; Syntax ]:[Quality of First Response]])=2,"Neutral","Pass"))</f>
        <v>Fail</v>
      </c>
      <c r="T168" s="76" t="str">
        <f>IF(MIN(Data_Table[[#This Row],[Grammar &amp; Syntax ]:[Quality of First Response]])&lt;=1,"Fail",IF(MIN(Data_Table[[#This Row],[Grammar &amp; Syntax ]:[Quality of First Response]])=2,"Pass","Pass"))</f>
        <v>Fail</v>
      </c>
      <c r="U168" s="76">
        <f>IF(Data_Table[[#This Row],[Compliance Critical PF]]="Fail",1,0)</f>
        <v>1</v>
      </c>
      <c r="V168" s="75"/>
      <c r="W168" s="73"/>
      <c r="X168" s="73"/>
      <c r="Y168" s="73"/>
      <c r="Z168" s="73"/>
      <c r="AA168" s="73"/>
      <c r="AB168" s="73"/>
      <c r="AC168" s="73"/>
      <c r="AD168" s="73"/>
      <c r="AE168" s="73"/>
      <c r="AF168" s="73"/>
      <c r="AG168" s="77" t="str">
        <f>IF(MIN(Data_Table[[#This Row],[Priority Level]:[Effective escalation ]])&lt;=1,"Fail",IF(MIN(Data_Table[[#This Row],[Priority Level]:[Effective escalation ]])=2,"Neutral","Pass"))</f>
        <v>Fail</v>
      </c>
      <c r="AH168" s="71" t="str">
        <f>IF(MIN(Data_Table[[#This Row],[Priority Level]:[Effective escalation ]])&lt;=1,"Fail",IF(MIN(Data_Table[[#This Row],[Priority Level]:[Effective escalation ]])=2,"Pass","Pass"))</f>
        <v>Fail</v>
      </c>
      <c r="AI168" s="71">
        <f>IF(Data_Table[[#This Row],[Business Critical PF]]="Fail",1,"")</f>
        <v>1</v>
      </c>
      <c r="AJ168" s="76" t="str">
        <f>IF(MIN(Data_Table[[#This Row],[Grammar &amp; Syntax ]:[Quality of First Response]],Data_Table[[#This Row],[Priority Level]:[Effective escalation ]])&lt;=1,"Fail",IF(MIN(Data_Table[[#This Row],[Grammar &amp; Syntax ]:[Quality of First Response]],Data_Table[[#This Row],[Priority Level]:[Effective escalation ]])=2,"Neutral","Pass"))</f>
        <v>Fail</v>
      </c>
      <c r="AK168" s="76" t="str">
        <f>IF(MIN(Data_Table[[#This Row],[Grammar &amp; Syntax ]:[Quality of First Response]],Data_Table[[#This Row],[Priority Level]:[Effective escalation ]])&lt;=1,"Fail",IF(MIN(Data_Table[[#This Row],[Grammar &amp; Syntax ]:[Quality of First Response]],Data_Table[[#This Row],[Priority Level]:[Effective escalation ]])=2,"Pass","Pass"))</f>
        <v>Fail</v>
      </c>
      <c r="AL168" s="76">
        <f>IF(Data_Table[[#This Row],[Attribute Fail Rate PF]]="Fail",1,"")</f>
        <v>1</v>
      </c>
      <c r="AM168" s="76">
        <f>1</f>
        <v>1</v>
      </c>
      <c r="AN168" s="76">
        <f>IF(Data_Table[[#This Row],[Attribute Fail Rate PF]]="Fail",Data_Table[[#This Row],[Ticket ID]],"")</f>
        <v>0</v>
      </c>
      <c r="AO168" s="76" t="str" cm="1">
        <f t="array" ref="AO168">_xlfn.LET(_xlpm.FailedCompliance,_xlfn.TEXTJOIN(" , ",TRUE,IF(Data_Table[[#This Row],[Grammar &amp; Syntax ]:[Quality of First Response]]=1,Data_Table[[#Headers],[Grammar &amp; Syntax ]:[Quality of First Response]],"")),
_xlpm.FailedBusiness,_xlfn.TEXTJOIN(" , ",TRUE,IF(Data_Table[[#This Row],[Priority Level]:[Effective escalation ]]=1,Data_Table[[#Headers],[Priority Level]:[Effective escalation ]],"")),
_xlfn.TEXTJOIN(" , ",TRUE,_xlpm.FailedCompliance,_xlpm.FailedBusiness))</f>
        <v/>
      </c>
    </row>
  </sheetData>
  <phoneticPr fontId="3" type="noConversion"/>
  <conditionalFormatting sqref="F111:F162">
    <cfRule type="duplicateValues" dxfId="132" priority="10"/>
    <cfRule type="duplicateValues" dxfId="131" priority="11"/>
    <cfRule type="duplicateValues" dxfId="130" priority="12"/>
  </conditionalFormatting>
  <conditionalFormatting sqref="J2:AJ168">
    <cfRule type="cellIs" dxfId="129" priority="8" operator="equal">
      <formula>1</formula>
    </cfRule>
  </conditionalFormatting>
  <conditionalFormatting sqref="AK2:AK168">
    <cfRule type="cellIs" dxfId="128" priority="7" operator="equal">
      <formula>1</formula>
    </cfRule>
  </conditionalFormatting>
  <conditionalFormatting sqref="AL2:AL168">
    <cfRule type="cellIs" dxfId="127" priority="6" operator="equal">
      <formula>1</formula>
    </cfRule>
  </conditionalFormatting>
  <conditionalFormatting sqref="AM2:AO168">
    <cfRule type="cellIs" dxfId="126" priority="1" operator="equal">
      <formula>1</formula>
    </cfRule>
  </conditionalFormatting>
  <conditionalFormatting sqref="F2:F168">
    <cfRule type="duplicateValues" dxfId="125" priority="29"/>
  </conditionalFormatting>
  <pageMargins left="0.7" right="0.7" top="0.75" bottom="0.75" header="0.3" footer="0.3"/>
  <pageSetup orientation="portrait" r:id="rId1"/>
  <headerFooter>
    <oddFooter>&amp;C_x000D_&amp;1#&amp;"Calibri"&amp;10&amp;K000000 SLB-Private</oddFooter>
  </headerFooter>
  <legacy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5B9B6B-342A-47A2-81AA-B1F4BFF23559}">
  <sheetPr codeName="Sheet2"/>
  <dimension ref="A1:B101"/>
  <sheetViews>
    <sheetView showGridLines="0" workbookViewId="0">
      <selection activeCell="A102" sqref="A102"/>
    </sheetView>
  </sheetViews>
  <sheetFormatPr defaultRowHeight="15" x14ac:dyDescent="0.25"/>
  <cols>
    <col min="1" max="1" width="13.140625" style="25" bestFit="1" customWidth="1"/>
    <col min="2" max="2" width="22.5703125" style="25" bestFit="1" customWidth="1"/>
  </cols>
  <sheetData>
    <row r="1" spans="1:2" x14ac:dyDescent="0.25">
      <c r="A1" s="26" t="s">
        <v>136</v>
      </c>
      <c r="B1" s="26" t="s">
        <v>139</v>
      </c>
    </row>
    <row r="2" spans="1:2" x14ac:dyDescent="0.25">
      <c r="A2" s="28">
        <v>881383</v>
      </c>
      <c r="B2" s="27" t="s">
        <v>140</v>
      </c>
    </row>
    <row r="3" spans="1:2" x14ac:dyDescent="0.25">
      <c r="A3" s="28">
        <v>874796</v>
      </c>
      <c r="B3" s="27" t="s">
        <v>141</v>
      </c>
    </row>
    <row r="4" spans="1:2" x14ac:dyDescent="0.25">
      <c r="A4" s="28">
        <v>879871</v>
      </c>
      <c r="B4" s="27" t="s">
        <v>141</v>
      </c>
    </row>
    <row r="5" spans="1:2" x14ac:dyDescent="0.25">
      <c r="A5" s="28">
        <v>874936</v>
      </c>
      <c r="B5" s="27" t="s">
        <v>141</v>
      </c>
    </row>
    <row r="6" spans="1:2" x14ac:dyDescent="0.25">
      <c r="A6" s="28">
        <v>874789</v>
      </c>
      <c r="B6" s="27" t="s">
        <v>141</v>
      </c>
    </row>
    <row r="7" spans="1:2" x14ac:dyDescent="0.25">
      <c r="A7" s="28">
        <v>882583</v>
      </c>
      <c r="B7" s="27" t="s">
        <v>140</v>
      </c>
    </row>
    <row r="8" spans="1:2" x14ac:dyDescent="0.25">
      <c r="A8" s="28">
        <v>874600</v>
      </c>
      <c r="B8" s="27" t="s">
        <v>140</v>
      </c>
    </row>
    <row r="9" spans="1:2" x14ac:dyDescent="0.25">
      <c r="A9" s="28">
        <v>874632</v>
      </c>
      <c r="B9" s="27" t="s">
        <v>140</v>
      </c>
    </row>
    <row r="10" spans="1:2" x14ac:dyDescent="0.25">
      <c r="A10" s="28">
        <v>878394</v>
      </c>
      <c r="B10" s="27" t="s">
        <v>140</v>
      </c>
    </row>
    <row r="11" spans="1:2" x14ac:dyDescent="0.25">
      <c r="A11" s="28">
        <v>878607</v>
      </c>
      <c r="B11" s="27" t="s">
        <v>140</v>
      </c>
    </row>
    <row r="12" spans="1:2" x14ac:dyDescent="0.25">
      <c r="A12" s="28">
        <v>873957</v>
      </c>
      <c r="B12" s="27" t="s">
        <v>142</v>
      </c>
    </row>
    <row r="13" spans="1:2" x14ac:dyDescent="0.25">
      <c r="A13" s="28">
        <v>878541</v>
      </c>
      <c r="B13" s="27" t="s">
        <v>142</v>
      </c>
    </row>
    <row r="14" spans="1:2" x14ac:dyDescent="0.25">
      <c r="A14" s="28">
        <v>879538</v>
      </c>
      <c r="B14" s="27" t="s">
        <v>141</v>
      </c>
    </row>
    <row r="15" spans="1:2" x14ac:dyDescent="0.25">
      <c r="A15" s="28">
        <v>878233</v>
      </c>
      <c r="B15" s="27" t="s">
        <v>141</v>
      </c>
    </row>
    <row r="16" spans="1:2" x14ac:dyDescent="0.25">
      <c r="A16" s="28">
        <v>878366</v>
      </c>
      <c r="B16" s="27" t="s">
        <v>142</v>
      </c>
    </row>
    <row r="17" spans="1:2" x14ac:dyDescent="0.25">
      <c r="A17" s="28">
        <v>876699</v>
      </c>
      <c r="B17" s="27" t="s">
        <v>142</v>
      </c>
    </row>
    <row r="18" spans="1:2" x14ac:dyDescent="0.25">
      <c r="A18" s="28">
        <v>874811</v>
      </c>
      <c r="B18" s="27" t="s">
        <v>141</v>
      </c>
    </row>
    <row r="19" spans="1:2" x14ac:dyDescent="0.25">
      <c r="A19" s="28">
        <v>880027</v>
      </c>
      <c r="B19" s="27" t="s">
        <v>141</v>
      </c>
    </row>
    <row r="20" spans="1:2" x14ac:dyDescent="0.25">
      <c r="A20" s="28">
        <v>879979</v>
      </c>
      <c r="B20" s="27" t="s">
        <v>141</v>
      </c>
    </row>
    <row r="21" spans="1:2" x14ac:dyDescent="0.25">
      <c r="A21" s="28">
        <v>874646</v>
      </c>
      <c r="B21" s="27" t="s">
        <v>141</v>
      </c>
    </row>
    <row r="22" spans="1:2" x14ac:dyDescent="0.25">
      <c r="A22" s="28">
        <v>874949</v>
      </c>
      <c r="B22" s="27" t="s">
        <v>141</v>
      </c>
    </row>
    <row r="23" spans="1:2" x14ac:dyDescent="0.25">
      <c r="A23" s="28">
        <v>881211</v>
      </c>
      <c r="B23" s="27" t="s">
        <v>141</v>
      </c>
    </row>
    <row r="24" spans="1:2" x14ac:dyDescent="0.25">
      <c r="A24" s="28">
        <v>878294</v>
      </c>
      <c r="B24" s="27" t="s">
        <v>142</v>
      </c>
    </row>
    <row r="25" spans="1:2" x14ac:dyDescent="0.25">
      <c r="A25" s="28">
        <v>875087</v>
      </c>
      <c r="B25" s="27" t="s">
        <v>140</v>
      </c>
    </row>
    <row r="26" spans="1:2" x14ac:dyDescent="0.25">
      <c r="A26" s="28">
        <v>878349</v>
      </c>
      <c r="B26" s="27" t="s">
        <v>140</v>
      </c>
    </row>
    <row r="27" spans="1:2" x14ac:dyDescent="0.25">
      <c r="A27" s="28">
        <v>879936</v>
      </c>
      <c r="B27" s="27" t="s">
        <v>141</v>
      </c>
    </row>
    <row r="28" spans="1:2" x14ac:dyDescent="0.25">
      <c r="A28" s="28">
        <v>874769</v>
      </c>
      <c r="B28" s="27" t="s">
        <v>142</v>
      </c>
    </row>
    <row r="29" spans="1:2" x14ac:dyDescent="0.25">
      <c r="A29" s="28">
        <v>878876</v>
      </c>
      <c r="B29" s="27" t="s">
        <v>143</v>
      </c>
    </row>
    <row r="30" spans="1:2" x14ac:dyDescent="0.25">
      <c r="A30" s="28">
        <v>877812</v>
      </c>
      <c r="B30" s="27" t="s">
        <v>140</v>
      </c>
    </row>
    <row r="31" spans="1:2" x14ac:dyDescent="0.25">
      <c r="A31" s="28">
        <v>874255</v>
      </c>
      <c r="B31" s="27" t="s">
        <v>141</v>
      </c>
    </row>
    <row r="32" spans="1:2" x14ac:dyDescent="0.25">
      <c r="A32" s="28">
        <v>877496</v>
      </c>
      <c r="B32" s="27" t="s">
        <v>141</v>
      </c>
    </row>
    <row r="33" spans="1:2" x14ac:dyDescent="0.25">
      <c r="A33" s="28">
        <v>878999</v>
      </c>
      <c r="B33" s="27" t="s">
        <v>143</v>
      </c>
    </row>
    <row r="34" spans="1:2" x14ac:dyDescent="0.25">
      <c r="A34" s="28">
        <v>881059</v>
      </c>
      <c r="B34" s="27" t="s">
        <v>141</v>
      </c>
    </row>
    <row r="35" spans="1:2" x14ac:dyDescent="0.25">
      <c r="A35" s="28">
        <v>875979</v>
      </c>
      <c r="B35" s="27" t="s">
        <v>140</v>
      </c>
    </row>
    <row r="36" spans="1:2" x14ac:dyDescent="0.25">
      <c r="A36" s="28">
        <v>880418</v>
      </c>
      <c r="B36" s="27" t="s">
        <v>141</v>
      </c>
    </row>
    <row r="37" spans="1:2" x14ac:dyDescent="0.25">
      <c r="A37" s="28">
        <v>877422</v>
      </c>
      <c r="B37" s="27" t="s">
        <v>142</v>
      </c>
    </row>
    <row r="38" spans="1:2" x14ac:dyDescent="0.25">
      <c r="A38" s="28">
        <v>880322</v>
      </c>
      <c r="B38" s="27" t="s">
        <v>143</v>
      </c>
    </row>
    <row r="39" spans="1:2" x14ac:dyDescent="0.25">
      <c r="A39" s="28">
        <v>881297</v>
      </c>
      <c r="B39" s="27" t="s">
        <v>141</v>
      </c>
    </row>
    <row r="40" spans="1:2" x14ac:dyDescent="0.25">
      <c r="A40" s="28">
        <v>879803</v>
      </c>
      <c r="B40" s="27" t="s">
        <v>142</v>
      </c>
    </row>
    <row r="41" spans="1:2" x14ac:dyDescent="0.25">
      <c r="A41" s="28">
        <v>874488</v>
      </c>
      <c r="B41" s="27" t="s">
        <v>140</v>
      </c>
    </row>
    <row r="42" spans="1:2" x14ac:dyDescent="0.25">
      <c r="A42" s="28">
        <v>876284</v>
      </c>
      <c r="B42" s="27" t="s">
        <v>140</v>
      </c>
    </row>
    <row r="43" spans="1:2" x14ac:dyDescent="0.25">
      <c r="A43" s="28">
        <v>877907</v>
      </c>
      <c r="B43" s="27" t="s">
        <v>143</v>
      </c>
    </row>
    <row r="44" spans="1:2" x14ac:dyDescent="0.25">
      <c r="A44" s="28">
        <v>874656</v>
      </c>
      <c r="B44" s="27" t="s">
        <v>141</v>
      </c>
    </row>
    <row r="45" spans="1:2" x14ac:dyDescent="0.25">
      <c r="A45" s="28">
        <v>879781</v>
      </c>
      <c r="B45" s="27" t="s">
        <v>143</v>
      </c>
    </row>
    <row r="46" spans="1:2" x14ac:dyDescent="0.25">
      <c r="A46" s="28">
        <v>876405</v>
      </c>
      <c r="B46" s="27" t="s">
        <v>141</v>
      </c>
    </row>
    <row r="47" spans="1:2" x14ac:dyDescent="0.25">
      <c r="A47" s="28">
        <v>876430</v>
      </c>
      <c r="B47" s="27" t="s">
        <v>142</v>
      </c>
    </row>
    <row r="48" spans="1:2" x14ac:dyDescent="0.25">
      <c r="A48" s="28">
        <v>876216</v>
      </c>
      <c r="B48" s="27" t="s">
        <v>142</v>
      </c>
    </row>
    <row r="49" spans="1:2" x14ac:dyDescent="0.25">
      <c r="A49" s="28">
        <v>874321</v>
      </c>
      <c r="B49" s="27" t="s">
        <v>142</v>
      </c>
    </row>
    <row r="50" spans="1:2" x14ac:dyDescent="0.25">
      <c r="A50" s="28">
        <v>880983</v>
      </c>
      <c r="B50" s="27" t="s">
        <v>142</v>
      </c>
    </row>
    <row r="51" spans="1:2" x14ac:dyDescent="0.25">
      <c r="A51" s="28">
        <v>880675</v>
      </c>
      <c r="B51" s="27" t="s">
        <v>140</v>
      </c>
    </row>
    <row r="52" spans="1:2" x14ac:dyDescent="0.25">
      <c r="A52" s="28">
        <v>880632</v>
      </c>
      <c r="B52" s="27" t="s">
        <v>140</v>
      </c>
    </row>
    <row r="53" spans="1:2" x14ac:dyDescent="0.25">
      <c r="A53" s="28">
        <v>875479</v>
      </c>
      <c r="B53" s="27" t="s">
        <v>140</v>
      </c>
    </row>
    <row r="54" spans="1:2" x14ac:dyDescent="0.25">
      <c r="A54" s="28">
        <v>873557</v>
      </c>
      <c r="B54" s="27" t="s">
        <v>141</v>
      </c>
    </row>
    <row r="55" spans="1:2" x14ac:dyDescent="0.25">
      <c r="A55" s="28">
        <v>884647</v>
      </c>
      <c r="B55" s="27" t="s">
        <v>140</v>
      </c>
    </row>
    <row r="56" spans="1:2" x14ac:dyDescent="0.25">
      <c r="A56" s="28">
        <v>884695</v>
      </c>
      <c r="B56" s="27" t="s">
        <v>141</v>
      </c>
    </row>
    <row r="57" spans="1:2" x14ac:dyDescent="0.25">
      <c r="A57" s="28">
        <v>888026</v>
      </c>
      <c r="B57" s="27" t="s">
        <v>141</v>
      </c>
    </row>
    <row r="58" spans="1:2" x14ac:dyDescent="0.25">
      <c r="A58" s="28">
        <v>886509</v>
      </c>
      <c r="B58" s="27" t="s">
        <v>143</v>
      </c>
    </row>
    <row r="59" spans="1:2" x14ac:dyDescent="0.25">
      <c r="A59" s="28">
        <v>886799</v>
      </c>
      <c r="B59" s="27" t="s">
        <v>142</v>
      </c>
    </row>
    <row r="60" spans="1:2" x14ac:dyDescent="0.25">
      <c r="A60" s="28">
        <v>886730</v>
      </c>
      <c r="B60" s="27" t="s">
        <v>140</v>
      </c>
    </row>
    <row r="61" spans="1:2" x14ac:dyDescent="0.25">
      <c r="A61" s="28">
        <v>886376</v>
      </c>
      <c r="B61" s="27" t="s">
        <v>141</v>
      </c>
    </row>
    <row r="62" spans="1:2" x14ac:dyDescent="0.25">
      <c r="A62" s="28">
        <v>886738</v>
      </c>
      <c r="B62" s="27" t="s">
        <v>140</v>
      </c>
    </row>
    <row r="63" spans="1:2" x14ac:dyDescent="0.25">
      <c r="A63" s="28">
        <v>886817</v>
      </c>
      <c r="B63" s="27" t="s">
        <v>140</v>
      </c>
    </row>
    <row r="64" spans="1:2" x14ac:dyDescent="0.25">
      <c r="A64" s="28">
        <v>886397</v>
      </c>
      <c r="B64" s="27" t="s">
        <v>142</v>
      </c>
    </row>
    <row r="65" spans="1:2" x14ac:dyDescent="0.25">
      <c r="A65" s="28">
        <v>884439</v>
      </c>
      <c r="B65" s="27" t="s">
        <v>142</v>
      </c>
    </row>
    <row r="66" spans="1:2" x14ac:dyDescent="0.25">
      <c r="A66" s="28">
        <v>889541</v>
      </c>
      <c r="B66" s="27" t="s">
        <v>141</v>
      </c>
    </row>
    <row r="67" spans="1:2" x14ac:dyDescent="0.25">
      <c r="A67" s="28">
        <v>887807</v>
      </c>
      <c r="B67" s="27" t="s">
        <v>142</v>
      </c>
    </row>
    <row r="68" spans="1:2" x14ac:dyDescent="0.25">
      <c r="A68" s="28">
        <v>886117</v>
      </c>
      <c r="B68" s="27" t="s">
        <v>142</v>
      </c>
    </row>
    <row r="69" spans="1:2" x14ac:dyDescent="0.25">
      <c r="A69" s="28">
        <v>884645</v>
      </c>
      <c r="B69" s="27" t="s">
        <v>140</v>
      </c>
    </row>
    <row r="70" spans="1:2" x14ac:dyDescent="0.25">
      <c r="A70" s="28">
        <v>885662</v>
      </c>
      <c r="B70" s="27" t="s">
        <v>141</v>
      </c>
    </row>
    <row r="71" spans="1:2" x14ac:dyDescent="0.25">
      <c r="A71" s="28">
        <v>889872</v>
      </c>
      <c r="B71" s="27" t="s">
        <v>141</v>
      </c>
    </row>
    <row r="72" spans="1:2" x14ac:dyDescent="0.25">
      <c r="A72" s="28">
        <v>884997</v>
      </c>
      <c r="B72" s="27" t="s">
        <v>141</v>
      </c>
    </row>
    <row r="73" spans="1:2" x14ac:dyDescent="0.25">
      <c r="A73" s="28">
        <v>889717</v>
      </c>
      <c r="B73" s="27" t="s">
        <v>142</v>
      </c>
    </row>
    <row r="74" spans="1:2" x14ac:dyDescent="0.25">
      <c r="A74" s="28">
        <v>885731</v>
      </c>
      <c r="B74" s="27" t="s">
        <v>142</v>
      </c>
    </row>
    <row r="75" spans="1:2" x14ac:dyDescent="0.25">
      <c r="A75" s="28">
        <v>884043</v>
      </c>
      <c r="B75" s="27" t="s">
        <v>142</v>
      </c>
    </row>
    <row r="76" spans="1:2" x14ac:dyDescent="0.25">
      <c r="A76" s="28">
        <v>889171</v>
      </c>
      <c r="B76" s="27" t="s">
        <v>140</v>
      </c>
    </row>
    <row r="77" spans="1:2" x14ac:dyDescent="0.25">
      <c r="A77" s="28">
        <v>889746</v>
      </c>
      <c r="B77" s="27" t="s">
        <v>140</v>
      </c>
    </row>
    <row r="78" spans="1:2" x14ac:dyDescent="0.25">
      <c r="A78" s="28">
        <v>889360</v>
      </c>
      <c r="B78" s="27" t="s">
        <v>141</v>
      </c>
    </row>
    <row r="79" spans="1:2" x14ac:dyDescent="0.25">
      <c r="A79" s="28">
        <v>884615</v>
      </c>
      <c r="B79" s="27" t="s">
        <v>140</v>
      </c>
    </row>
    <row r="80" spans="1:2" x14ac:dyDescent="0.25">
      <c r="A80" s="28">
        <v>884235</v>
      </c>
      <c r="B80" s="27" t="s">
        <v>141</v>
      </c>
    </row>
    <row r="81" spans="1:2" x14ac:dyDescent="0.25">
      <c r="A81" s="28">
        <v>884348</v>
      </c>
      <c r="B81" s="27" t="s">
        <v>140</v>
      </c>
    </row>
    <row r="82" spans="1:2" x14ac:dyDescent="0.25">
      <c r="A82" s="28">
        <v>889257</v>
      </c>
      <c r="B82" s="27" t="s">
        <v>142</v>
      </c>
    </row>
    <row r="83" spans="1:2" x14ac:dyDescent="0.25">
      <c r="A83" s="28">
        <v>885770</v>
      </c>
      <c r="B83" s="27" t="s">
        <v>140</v>
      </c>
    </row>
    <row r="84" spans="1:2" x14ac:dyDescent="0.25">
      <c r="A84" s="28">
        <v>887633</v>
      </c>
      <c r="B84" s="27" t="s">
        <v>142</v>
      </c>
    </row>
    <row r="85" spans="1:2" x14ac:dyDescent="0.25">
      <c r="A85" s="28">
        <v>883821</v>
      </c>
      <c r="B85" s="27" t="s">
        <v>141</v>
      </c>
    </row>
    <row r="86" spans="1:2" x14ac:dyDescent="0.25">
      <c r="A86" s="28">
        <v>886106</v>
      </c>
      <c r="B86" s="27" t="s">
        <v>140</v>
      </c>
    </row>
    <row r="87" spans="1:2" x14ac:dyDescent="0.25">
      <c r="A87" s="28">
        <v>884002</v>
      </c>
      <c r="B87" s="27" t="s">
        <v>143</v>
      </c>
    </row>
    <row r="88" spans="1:2" x14ac:dyDescent="0.25">
      <c r="A88" s="28">
        <v>883686</v>
      </c>
      <c r="B88" s="27" t="s">
        <v>142</v>
      </c>
    </row>
    <row r="89" spans="1:2" x14ac:dyDescent="0.25">
      <c r="A89" s="28">
        <v>890887</v>
      </c>
      <c r="B89" s="27" t="s">
        <v>140</v>
      </c>
    </row>
    <row r="90" spans="1:2" x14ac:dyDescent="0.25">
      <c r="A90" s="28">
        <v>888822</v>
      </c>
      <c r="B90" s="27" t="s">
        <v>140</v>
      </c>
    </row>
    <row r="91" spans="1:2" x14ac:dyDescent="0.25">
      <c r="A91" s="28">
        <v>885199</v>
      </c>
      <c r="B91" s="27" t="s">
        <v>143</v>
      </c>
    </row>
    <row r="92" spans="1:2" x14ac:dyDescent="0.25">
      <c r="A92" s="28">
        <v>888199</v>
      </c>
      <c r="B92" s="27" t="s">
        <v>141</v>
      </c>
    </row>
    <row r="93" spans="1:2" x14ac:dyDescent="0.25">
      <c r="A93" s="28">
        <v>886905</v>
      </c>
      <c r="B93" s="27" t="s">
        <v>143</v>
      </c>
    </row>
    <row r="94" spans="1:2" x14ac:dyDescent="0.25">
      <c r="A94" s="28">
        <v>887288</v>
      </c>
      <c r="B94" s="27" t="s">
        <v>140</v>
      </c>
    </row>
    <row r="95" spans="1:2" x14ac:dyDescent="0.25">
      <c r="A95" s="28">
        <v>885381</v>
      </c>
      <c r="B95" s="27" t="s">
        <v>142</v>
      </c>
    </row>
    <row r="96" spans="1:2" x14ac:dyDescent="0.25">
      <c r="A96" s="28">
        <v>890373</v>
      </c>
      <c r="B96" s="27" t="s">
        <v>142</v>
      </c>
    </row>
    <row r="97" spans="1:2" x14ac:dyDescent="0.25">
      <c r="A97" s="28">
        <v>883568</v>
      </c>
      <c r="B97" s="27" t="s">
        <v>140</v>
      </c>
    </row>
    <row r="98" spans="1:2" x14ac:dyDescent="0.25">
      <c r="A98" s="28">
        <v>885632</v>
      </c>
      <c r="B98" s="27" t="s">
        <v>140</v>
      </c>
    </row>
    <row r="99" spans="1:2" x14ac:dyDescent="0.25">
      <c r="A99" s="28">
        <v>884798</v>
      </c>
      <c r="B99" s="27" t="s">
        <v>140</v>
      </c>
    </row>
    <row r="100" spans="1:2" x14ac:dyDescent="0.25">
      <c r="A100" s="28">
        <v>886455</v>
      </c>
      <c r="B100" s="27" t="s">
        <v>142</v>
      </c>
    </row>
    <row r="101" spans="1:2" x14ac:dyDescent="0.25">
      <c r="A101" s="28">
        <v>889642</v>
      </c>
      <c r="B101" s="27" t="s">
        <v>141</v>
      </c>
    </row>
  </sheetData>
  <conditionalFormatting sqref="A2:A54">
    <cfRule type="duplicateValues" dxfId="50" priority="3"/>
  </conditionalFormatting>
  <conditionalFormatting sqref="A55:A101">
    <cfRule type="duplicateValues" dxfId="49" priority="2"/>
  </conditionalFormatting>
  <conditionalFormatting sqref="A1:A1048576">
    <cfRule type="duplicateValues" dxfId="48" priority="1"/>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8F25D1-54AE-46BA-B489-5BBAC6116044}">
  <sheetPr codeName="Sheet3"/>
  <dimension ref="A1:B181"/>
  <sheetViews>
    <sheetView showGridLines="0" workbookViewId="0">
      <selection activeCell="E6" sqref="E6"/>
    </sheetView>
  </sheetViews>
  <sheetFormatPr defaultRowHeight="15" x14ac:dyDescent="0.25"/>
  <cols>
    <col min="1" max="1" width="13.140625" style="25" bestFit="1" customWidth="1"/>
    <col min="2" max="2" width="28.28515625" style="25" bestFit="1" customWidth="1"/>
  </cols>
  <sheetData>
    <row r="1" spans="1:2" x14ac:dyDescent="0.25">
      <c r="A1" s="26" t="s">
        <v>136</v>
      </c>
      <c r="B1" s="26" t="s">
        <v>144</v>
      </c>
    </row>
    <row r="2" spans="1:2" x14ac:dyDescent="0.25">
      <c r="A2" s="28">
        <v>863088</v>
      </c>
      <c r="B2" s="27" t="s">
        <v>145</v>
      </c>
    </row>
    <row r="3" spans="1:2" x14ac:dyDescent="0.25">
      <c r="A3" s="28">
        <v>865031</v>
      </c>
      <c r="B3" s="27" t="s">
        <v>145</v>
      </c>
    </row>
    <row r="4" spans="1:2" x14ac:dyDescent="0.25">
      <c r="A4" s="28">
        <v>863394</v>
      </c>
      <c r="B4" s="27" t="s">
        <v>146</v>
      </c>
    </row>
    <row r="5" spans="1:2" x14ac:dyDescent="0.25">
      <c r="A5" s="28">
        <v>864843</v>
      </c>
      <c r="B5" s="27" t="s">
        <v>146</v>
      </c>
    </row>
    <row r="6" spans="1:2" x14ac:dyDescent="0.25">
      <c r="A6" s="28">
        <v>865371</v>
      </c>
      <c r="B6" s="27" t="s">
        <v>147</v>
      </c>
    </row>
    <row r="7" spans="1:2" x14ac:dyDescent="0.25">
      <c r="A7" s="28">
        <v>866790</v>
      </c>
      <c r="B7" s="27" t="s">
        <v>147</v>
      </c>
    </row>
    <row r="8" spans="1:2" x14ac:dyDescent="0.25">
      <c r="A8" s="28">
        <v>862972</v>
      </c>
      <c r="B8" s="27" t="s">
        <v>148</v>
      </c>
    </row>
    <row r="9" spans="1:2" x14ac:dyDescent="0.25">
      <c r="A9" s="28">
        <v>867367</v>
      </c>
      <c r="B9" s="27" t="s">
        <v>148</v>
      </c>
    </row>
    <row r="10" spans="1:2" x14ac:dyDescent="0.25">
      <c r="A10" s="28">
        <v>863527</v>
      </c>
      <c r="B10" s="27" t="s">
        <v>149</v>
      </c>
    </row>
    <row r="11" spans="1:2" x14ac:dyDescent="0.25">
      <c r="A11" s="28">
        <v>867026</v>
      </c>
      <c r="B11" s="27" t="s">
        <v>149</v>
      </c>
    </row>
    <row r="12" spans="1:2" x14ac:dyDescent="0.25">
      <c r="A12" s="28">
        <v>863354</v>
      </c>
      <c r="B12" s="27" t="s">
        <v>150</v>
      </c>
    </row>
    <row r="13" spans="1:2" x14ac:dyDescent="0.25">
      <c r="A13" s="28">
        <v>863177</v>
      </c>
      <c r="B13" s="27" t="s">
        <v>150</v>
      </c>
    </row>
    <row r="14" spans="1:2" x14ac:dyDescent="0.25">
      <c r="A14" s="28" t="s">
        <v>12</v>
      </c>
      <c r="B14" s="27" t="s">
        <v>151</v>
      </c>
    </row>
    <row r="15" spans="1:2" x14ac:dyDescent="0.25">
      <c r="A15" s="28" t="s">
        <v>12</v>
      </c>
      <c r="B15" s="27" t="s">
        <v>151</v>
      </c>
    </row>
    <row r="16" spans="1:2" x14ac:dyDescent="0.25">
      <c r="A16" s="28">
        <v>863990</v>
      </c>
      <c r="B16" s="27" t="s">
        <v>152</v>
      </c>
    </row>
    <row r="17" spans="1:2" x14ac:dyDescent="0.25">
      <c r="A17" s="28">
        <v>864322</v>
      </c>
      <c r="B17" s="27" t="s">
        <v>152</v>
      </c>
    </row>
    <row r="18" spans="1:2" x14ac:dyDescent="0.25">
      <c r="A18" s="28">
        <v>864678</v>
      </c>
      <c r="B18" s="27" t="s">
        <v>153</v>
      </c>
    </row>
    <row r="19" spans="1:2" x14ac:dyDescent="0.25">
      <c r="A19" s="28">
        <v>869744</v>
      </c>
      <c r="B19" s="27" t="s">
        <v>153</v>
      </c>
    </row>
    <row r="20" spans="1:2" x14ac:dyDescent="0.25">
      <c r="A20" s="28">
        <v>868755</v>
      </c>
      <c r="B20" s="27" t="s">
        <v>154</v>
      </c>
    </row>
    <row r="21" spans="1:2" x14ac:dyDescent="0.25">
      <c r="A21" s="28">
        <v>868772</v>
      </c>
      <c r="B21" s="27" t="s">
        <v>154</v>
      </c>
    </row>
    <row r="22" spans="1:2" x14ac:dyDescent="0.25">
      <c r="A22" s="28">
        <v>863776</v>
      </c>
      <c r="B22" s="27" t="s">
        <v>155</v>
      </c>
    </row>
    <row r="23" spans="1:2" x14ac:dyDescent="0.25">
      <c r="A23" s="28">
        <v>864228</v>
      </c>
      <c r="B23" s="27" t="s">
        <v>155</v>
      </c>
    </row>
    <row r="24" spans="1:2" x14ac:dyDescent="0.25">
      <c r="A24" s="28">
        <v>863071</v>
      </c>
      <c r="B24" s="27" t="s">
        <v>156</v>
      </c>
    </row>
    <row r="25" spans="1:2" x14ac:dyDescent="0.25">
      <c r="A25" s="28">
        <v>864581</v>
      </c>
      <c r="B25" s="27" t="s">
        <v>156</v>
      </c>
    </row>
    <row r="26" spans="1:2" x14ac:dyDescent="0.25">
      <c r="A26" s="28" t="s">
        <v>12</v>
      </c>
      <c r="B26" s="27" t="s">
        <v>157</v>
      </c>
    </row>
    <row r="27" spans="1:2" x14ac:dyDescent="0.25">
      <c r="A27" s="28" t="s">
        <v>12</v>
      </c>
      <c r="B27" s="27" t="s">
        <v>157</v>
      </c>
    </row>
    <row r="28" spans="1:2" x14ac:dyDescent="0.25">
      <c r="A28" s="28">
        <v>863243</v>
      </c>
      <c r="B28" s="27" t="s">
        <v>158</v>
      </c>
    </row>
    <row r="29" spans="1:2" x14ac:dyDescent="0.25">
      <c r="A29" s="28">
        <v>864315</v>
      </c>
      <c r="B29" s="27" t="s">
        <v>158</v>
      </c>
    </row>
    <row r="30" spans="1:2" x14ac:dyDescent="0.25">
      <c r="A30" s="28">
        <v>870147</v>
      </c>
      <c r="B30" s="27" t="s">
        <v>159</v>
      </c>
    </row>
    <row r="31" spans="1:2" x14ac:dyDescent="0.25">
      <c r="A31" s="28">
        <v>870776</v>
      </c>
      <c r="B31" s="27" t="s">
        <v>159</v>
      </c>
    </row>
    <row r="32" spans="1:2" x14ac:dyDescent="0.25">
      <c r="A32" s="28">
        <v>863877</v>
      </c>
      <c r="B32" s="27" t="s">
        <v>160</v>
      </c>
    </row>
    <row r="33" spans="1:2" x14ac:dyDescent="0.25">
      <c r="A33" s="28">
        <v>865670</v>
      </c>
      <c r="B33" s="27" t="s">
        <v>160</v>
      </c>
    </row>
    <row r="34" spans="1:2" x14ac:dyDescent="0.25">
      <c r="A34" s="28">
        <v>863986</v>
      </c>
      <c r="B34" s="27" t="s">
        <v>161</v>
      </c>
    </row>
    <row r="35" spans="1:2" x14ac:dyDescent="0.25">
      <c r="A35" s="28">
        <v>865485</v>
      </c>
      <c r="B35" s="27" t="s">
        <v>161</v>
      </c>
    </row>
    <row r="36" spans="1:2" x14ac:dyDescent="0.25">
      <c r="A36" s="28" t="s">
        <v>12</v>
      </c>
      <c r="B36" s="27" t="s">
        <v>162</v>
      </c>
    </row>
    <row r="37" spans="1:2" x14ac:dyDescent="0.25">
      <c r="A37" s="28" t="s">
        <v>12</v>
      </c>
      <c r="B37" s="27" t="s">
        <v>162</v>
      </c>
    </row>
    <row r="38" spans="1:2" x14ac:dyDescent="0.25">
      <c r="A38" s="28">
        <v>865783</v>
      </c>
      <c r="B38" s="27" t="s">
        <v>163</v>
      </c>
    </row>
    <row r="39" spans="1:2" x14ac:dyDescent="0.25">
      <c r="A39" s="28">
        <v>867608</v>
      </c>
      <c r="B39" s="27" t="s">
        <v>163</v>
      </c>
    </row>
    <row r="40" spans="1:2" x14ac:dyDescent="0.25">
      <c r="A40" s="28">
        <v>867446</v>
      </c>
      <c r="B40" s="27" t="s">
        <v>164</v>
      </c>
    </row>
    <row r="41" spans="1:2" x14ac:dyDescent="0.25">
      <c r="A41" s="28">
        <v>867504</v>
      </c>
      <c r="B41" s="27" t="s">
        <v>164</v>
      </c>
    </row>
    <row r="42" spans="1:2" x14ac:dyDescent="0.25">
      <c r="A42" s="28">
        <v>869288</v>
      </c>
      <c r="B42" s="27" t="s">
        <v>165</v>
      </c>
    </row>
    <row r="43" spans="1:2" x14ac:dyDescent="0.25">
      <c r="A43" s="28">
        <v>871429</v>
      </c>
      <c r="B43" s="27" t="s">
        <v>165</v>
      </c>
    </row>
    <row r="44" spans="1:2" x14ac:dyDescent="0.25">
      <c r="A44" s="28">
        <v>863883</v>
      </c>
      <c r="B44" s="27" t="s">
        <v>166</v>
      </c>
    </row>
    <row r="45" spans="1:2" x14ac:dyDescent="0.25">
      <c r="A45" s="28">
        <v>865152</v>
      </c>
      <c r="B45" s="27" t="s">
        <v>166</v>
      </c>
    </row>
    <row r="46" spans="1:2" x14ac:dyDescent="0.25">
      <c r="A46" s="28">
        <v>865474</v>
      </c>
      <c r="B46" s="27" t="s">
        <v>167</v>
      </c>
    </row>
    <row r="47" spans="1:2" x14ac:dyDescent="0.25">
      <c r="A47" s="28">
        <v>865887</v>
      </c>
      <c r="B47" s="27" t="s">
        <v>167</v>
      </c>
    </row>
    <row r="48" spans="1:2" x14ac:dyDescent="0.25">
      <c r="A48" s="28">
        <v>863819</v>
      </c>
      <c r="B48" s="27" t="s">
        <v>168</v>
      </c>
    </row>
    <row r="49" spans="1:2" x14ac:dyDescent="0.25">
      <c r="A49" s="28">
        <v>869404</v>
      </c>
      <c r="B49" s="27" t="s">
        <v>168</v>
      </c>
    </row>
    <row r="50" spans="1:2" x14ac:dyDescent="0.25">
      <c r="A50" s="28">
        <v>865176</v>
      </c>
      <c r="B50" s="27" t="s">
        <v>169</v>
      </c>
    </row>
    <row r="51" spans="1:2" x14ac:dyDescent="0.25">
      <c r="A51" s="28">
        <v>867762</v>
      </c>
      <c r="B51" s="27" t="s">
        <v>169</v>
      </c>
    </row>
    <row r="52" spans="1:2" x14ac:dyDescent="0.25">
      <c r="A52" s="28">
        <v>865520</v>
      </c>
      <c r="B52" s="27" t="s">
        <v>170</v>
      </c>
    </row>
    <row r="53" spans="1:2" x14ac:dyDescent="0.25">
      <c r="A53" s="28">
        <v>871305</v>
      </c>
      <c r="B53" s="27" t="s">
        <v>170</v>
      </c>
    </row>
    <row r="54" spans="1:2" x14ac:dyDescent="0.25">
      <c r="A54" s="28">
        <v>863621</v>
      </c>
      <c r="B54" s="27" t="s">
        <v>171</v>
      </c>
    </row>
    <row r="55" spans="1:2" x14ac:dyDescent="0.25">
      <c r="A55" s="28">
        <v>865296</v>
      </c>
      <c r="B55" s="27" t="s">
        <v>171</v>
      </c>
    </row>
    <row r="56" spans="1:2" x14ac:dyDescent="0.25">
      <c r="A56" s="28">
        <v>863532</v>
      </c>
      <c r="B56" s="27" t="s">
        <v>172</v>
      </c>
    </row>
    <row r="57" spans="1:2" x14ac:dyDescent="0.25">
      <c r="A57" s="28">
        <v>871270</v>
      </c>
      <c r="B57" s="27" t="s">
        <v>172</v>
      </c>
    </row>
    <row r="58" spans="1:2" x14ac:dyDescent="0.25">
      <c r="A58" s="28">
        <v>865460</v>
      </c>
      <c r="B58" s="27" t="s">
        <v>173</v>
      </c>
    </row>
    <row r="59" spans="1:2" x14ac:dyDescent="0.25">
      <c r="A59" s="28">
        <v>869668</v>
      </c>
      <c r="B59" s="27" t="s">
        <v>173</v>
      </c>
    </row>
    <row r="60" spans="1:2" x14ac:dyDescent="0.25">
      <c r="A60" s="28">
        <v>863743</v>
      </c>
      <c r="B60" s="27" t="s">
        <v>174</v>
      </c>
    </row>
    <row r="61" spans="1:2" x14ac:dyDescent="0.25">
      <c r="A61" s="28">
        <v>865188</v>
      </c>
      <c r="B61" s="27" t="s">
        <v>174</v>
      </c>
    </row>
    <row r="62" spans="1:2" x14ac:dyDescent="0.25">
      <c r="A62" s="28">
        <v>880983</v>
      </c>
      <c r="B62" s="27" t="s">
        <v>145</v>
      </c>
    </row>
    <row r="63" spans="1:2" x14ac:dyDescent="0.25">
      <c r="A63" s="28">
        <v>874321</v>
      </c>
      <c r="B63" s="27" t="s">
        <v>145</v>
      </c>
    </row>
    <row r="64" spans="1:2" x14ac:dyDescent="0.25">
      <c r="A64" s="28">
        <v>876216</v>
      </c>
      <c r="B64" s="27" t="s">
        <v>146</v>
      </c>
    </row>
    <row r="65" spans="1:2" x14ac:dyDescent="0.25">
      <c r="A65" s="28">
        <v>876430</v>
      </c>
      <c r="B65" s="27" t="s">
        <v>146</v>
      </c>
    </row>
    <row r="66" spans="1:2" x14ac:dyDescent="0.25">
      <c r="A66" s="28">
        <v>876405</v>
      </c>
      <c r="B66" s="27" t="s">
        <v>147</v>
      </c>
    </row>
    <row r="67" spans="1:2" x14ac:dyDescent="0.25">
      <c r="A67" s="28">
        <v>879781</v>
      </c>
      <c r="B67" s="27" t="s">
        <v>147</v>
      </c>
    </row>
    <row r="68" spans="1:2" x14ac:dyDescent="0.25">
      <c r="A68" s="28">
        <v>874656</v>
      </c>
      <c r="B68" s="27" t="s">
        <v>148</v>
      </c>
    </row>
    <row r="69" spans="1:2" x14ac:dyDescent="0.25">
      <c r="A69" s="28">
        <v>877907</v>
      </c>
      <c r="B69" s="27" t="s">
        <v>148</v>
      </c>
    </row>
    <row r="70" spans="1:2" x14ac:dyDescent="0.25">
      <c r="A70" s="28">
        <v>876284</v>
      </c>
      <c r="B70" s="27" t="s">
        <v>149</v>
      </c>
    </row>
    <row r="71" spans="1:2" x14ac:dyDescent="0.25">
      <c r="A71" s="28">
        <v>874488</v>
      </c>
      <c r="B71" s="27" t="s">
        <v>149</v>
      </c>
    </row>
    <row r="72" spans="1:2" x14ac:dyDescent="0.25">
      <c r="A72" s="28">
        <v>879803</v>
      </c>
      <c r="B72" s="27" t="s">
        <v>150</v>
      </c>
    </row>
    <row r="73" spans="1:2" x14ac:dyDescent="0.25">
      <c r="A73" s="28">
        <v>881297</v>
      </c>
      <c r="B73" s="27" t="s">
        <v>150</v>
      </c>
    </row>
    <row r="74" spans="1:2" x14ac:dyDescent="0.25">
      <c r="A74" s="28"/>
      <c r="B74" s="27" t="s">
        <v>151</v>
      </c>
    </row>
    <row r="75" spans="1:2" x14ac:dyDescent="0.25">
      <c r="A75" s="28"/>
      <c r="B75" s="27" t="s">
        <v>151</v>
      </c>
    </row>
    <row r="76" spans="1:2" x14ac:dyDescent="0.25">
      <c r="A76" s="28">
        <v>873557</v>
      </c>
      <c r="B76" s="27" t="s">
        <v>152</v>
      </c>
    </row>
    <row r="77" spans="1:2" x14ac:dyDescent="0.25">
      <c r="A77" s="28">
        <v>875479</v>
      </c>
      <c r="B77" s="27" t="s">
        <v>152</v>
      </c>
    </row>
    <row r="78" spans="1:2" x14ac:dyDescent="0.25">
      <c r="A78" s="28">
        <v>880632</v>
      </c>
      <c r="B78" s="27" t="s">
        <v>153</v>
      </c>
    </row>
    <row r="79" spans="1:2" x14ac:dyDescent="0.25">
      <c r="A79" s="28">
        <v>880675</v>
      </c>
      <c r="B79" s="27" t="s">
        <v>153</v>
      </c>
    </row>
    <row r="80" spans="1:2" x14ac:dyDescent="0.25">
      <c r="A80" s="28">
        <v>880322</v>
      </c>
      <c r="B80" s="27" t="s">
        <v>154</v>
      </c>
    </row>
    <row r="81" spans="1:2" x14ac:dyDescent="0.25">
      <c r="A81" s="28">
        <v>877422</v>
      </c>
      <c r="B81" s="27" t="s">
        <v>154</v>
      </c>
    </row>
    <row r="82" spans="1:2" x14ac:dyDescent="0.25">
      <c r="A82" s="28">
        <v>880418</v>
      </c>
      <c r="B82" s="27" t="s">
        <v>155</v>
      </c>
    </row>
    <row r="83" spans="1:2" x14ac:dyDescent="0.25">
      <c r="A83" s="28">
        <v>878876</v>
      </c>
      <c r="B83" s="27" t="s">
        <v>155</v>
      </c>
    </row>
    <row r="84" spans="1:2" x14ac:dyDescent="0.25">
      <c r="A84" s="28">
        <v>875979</v>
      </c>
      <c r="B84" s="27" t="s">
        <v>156</v>
      </c>
    </row>
    <row r="85" spans="1:2" x14ac:dyDescent="0.25">
      <c r="A85" s="28">
        <v>881059</v>
      </c>
      <c r="B85" s="27" t="s">
        <v>156</v>
      </c>
    </row>
    <row r="86" spans="1:2" x14ac:dyDescent="0.25">
      <c r="A86" s="28"/>
      <c r="B86" s="27" t="s">
        <v>157</v>
      </c>
    </row>
    <row r="87" spans="1:2" x14ac:dyDescent="0.25">
      <c r="A87" s="28"/>
      <c r="B87" s="27" t="s">
        <v>157</v>
      </c>
    </row>
    <row r="88" spans="1:2" x14ac:dyDescent="0.25">
      <c r="A88" s="28">
        <v>875823</v>
      </c>
      <c r="B88" s="27" t="s">
        <v>158</v>
      </c>
    </row>
    <row r="89" spans="1:2" x14ac:dyDescent="0.25">
      <c r="A89" s="28">
        <v>877496</v>
      </c>
      <c r="B89" s="27" t="s">
        <v>158</v>
      </c>
    </row>
    <row r="90" spans="1:2" x14ac:dyDescent="0.25">
      <c r="A90" s="28">
        <v>874255</v>
      </c>
      <c r="B90" s="27" t="s">
        <v>159</v>
      </c>
    </row>
    <row r="91" spans="1:2" x14ac:dyDescent="0.25">
      <c r="A91" s="28">
        <v>877812</v>
      </c>
      <c r="B91" s="27" t="s">
        <v>159</v>
      </c>
    </row>
    <row r="92" spans="1:2" x14ac:dyDescent="0.25">
      <c r="A92" s="28">
        <v>874769</v>
      </c>
      <c r="B92" s="27" t="s">
        <v>160</v>
      </c>
    </row>
    <row r="93" spans="1:2" x14ac:dyDescent="0.25">
      <c r="A93" s="28">
        <v>879936</v>
      </c>
      <c r="B93" s="27" t="s">
        <v>160</v>
      </c>
    </row>
    <row r="94" spans="1:2" x14ac:dyDescent="0.25">
      <c r="A94" s="28">
        <v>878349</v>
      </c>
      <c r="B94" s="27" t="s">
        <v>161</v>
      </c>
    </row>
    <row r="95" spans="1:2" x14ac:dyDescent="0.25">
      <c r="A95" s="28">
        <v>875087</v>
      </c>
      <c r="B95" s="27" t="s">
        <v>161</v>
      </c>
    </row>
    <row r="96" spans="1:2" x14ac:dyDescent="0.25">
      <c r="A96" s="28"/>
      <c r="B96" s="27" t="s">
        <v>162</v>
      </c>
    </row>
    <row r="97" spans="1:2" x14ac:dyDescent="0.25">
      <c r="A97" s="28"/>
      <c r="B97" s="27" t="s">
        <v>162</v>
      </c>
    </row>
    <row r="98" spans="1:2" x14ac:dyDescent="0.25">
      <c r="A98" s="28">
        <v>878294</v>
      </c>
      <c r="B98" s="27" t="s">
        <v>163</v>
      </c>
    </row>
    <row r="99" spans="1:2" x14ac:dyDescent="0.25">
      <c r="A99" s="28">
        <v>881211</v>
      </c>
      <c r="B99" s="27" t="s">
        <v>163</v>
      </c>
    </row>
    <row r="100" spans="1:2" x14ac:dyDescent="0.25">
      <c r="A100" s="28">
        <v>874949</v>
      </c>
      <c r="B100" s="27" t="s">
        <v>164</v>
      </c>
    </row>
    <row r="101" spans="1:2" x14ac:dyDescent="0.25">
      <c r="A101" s="28">
        <v>874646</v>
      </c>
      <c r="B101" s="27" t="s">
        <v>164</v>
      </c>
    </row>
    <row r="102" spans="1:2" x14ac:dyDescent="0.25">
      <c r="A102" s="25">
        <v>879979</v>
      </c>
      <c r="B102" s="25" t="s">
        <v>165</v>
      </c>
    </row>
    <row r="103" spans="1:2" x14ac:dyDescent="0.25">
      <c r="A103" s="25">
        <v>880027</v>
      </c>
      <c r="B103" s="25" t="s">
        <v>165</v>
      </c>
    </row>
    <row r="104" spans="1:2" x14ac:dyDescent="0.25">
      <c r="A104" s="25">
        <v>874811</v>
      </c>
      <c r="B104" s="25" t="s">
        <v>166</v>
      </c>
    </row>
    <row r="105" spans="1:2" x14ac:dyDescent="0.25">
      <c r="A105" s="25">
        <v>876738</v>
      </c>
      <c r="B105" s="25" t="s">
        <v>166</v>
      </c>
    </row>
    <row r="106" spans="1:2" x14ac:dyDescent="0.25">
      <c r="A106" s="25">
        <v>876699</v>
      </c>
      <c r="B106" s="25" t="s">
        <v>167</v>
      </c>
    </row>
    <row r="107" spans="1:2" x14ac:dyDescent="0.25">
      <c r="A107" s="25">
        <v>878366</v>
      </c>
      <c r="B107" s="25" t="s">
        <v>167</v>
      </c>
    </row>
    <row r="108" spans="1:2" x14ac:dyDescent="0.25">
      <c r="A108" s="25">
        <v>878233</v>
      </c>
      <c r="B108" s="25" t="s">
        <v>168</v>
      </c>
    </row>
    <row r="109" spans="1:2" x14ac:dyDescent="0.25">
      <c r="A109" s="25">
        <v>879538</v>
      </c>
      <c r="B109" s="25" t="s">
        <v>168</v>
      </c>
    </row>
    <row r="110" spans="1:2" x14ac:dyDescent="0.25">
      <c r="A110" s="25">
        <v>878541</v>
      </c>
      <c r="B110" s="25" t="s">
        <v>169</v>
      </c>
    </row>
    <row r="111" spans="1:2" x14ac:dyDescent="0.25">
      <c r="A111" s="25">
        <v>873957</v>
      </c>
      <c r="B111" s="25" t="s">
        <v>169</v>
      </c>
    </row>
    <row r="112" spans="1:2" x14ac:dyDescent="0.25">
      <c r="A112" s="25">
        <v>878607</v>
      </c>
      <c r="B112" s="25" t="s">
        <v>170</v>
      </c>
    </row>
    <row r="113" spans="1:2" x14ac:dyDescent="0.25">
      <c r="A113" s="25">
        <v>878394</v>
      </c>
      <c r="B113" s="25" t="s">
        <v>170</v>
      </c>
    </row>
    <row r="114" spans="1:2" x14ac:dyDescent="0.25">
      <c r="A114" s="25">
        <v>874632</v>
      </c>
      <c r="B114" s="25" t="s">
        <v>171</v>
      </c>
    </row>
    <row r="115" spans="1:2" x14ac:dyDescent="0.25">
      <c r="A115" s="25">
        <v>874600</v>
      </c>
      <c r="B115" s="25" t="s">
        <v>171</v>
      </c>
    </row>
    <row r="116" spans="1:2" x14ac:dyDescent="0.25">
      <c r="A116" s="25">
        <v>882583</v>
      </c>
      <c r="B116" s="25" t="s">
        <v>172</v>
      </c>
    </row>
    <row r="117" spans="1:2" x14ac:dyDescent="0.25">
      <c r="A117" s="25">
        <v>874789</v>
      </c>
      <c r="B117" s="25" t="s">
        <v>172</v>
      </c>
    </row>
    <row r="118" spans="1:2" x14ac:dyDescent="0.25">
      <c r="A118" s="25">
        <v>874936</v>
      </c>
      <c r="B118" s="25" t="s">
        <v>173</v>
      </c>
    </row>
    <row r="119" spans="1:2" x14ac:dyDescent="0.25">
      <c r="A119" s="25">
        <v>879871</v>
      </c>
      <c r="B119" s="25" t="s">
        <v>173</v>
      </c>
    </row>
    <row r="120" spans="1:2" x14ac:dyDescent="0.25">
      <c r="A120" s="25">
        <v>874796</v>
      </c>
      <c r="B120" s="25" t="s">
        <v>174</v>
      </c>
    </row>
    <row r="121" spans="1:2" x14ac:dyDescent="0.25">
      <c r="A121" s="25">
        <v>881383</v>
      </c>
      <c r="B121" s="25" t="s">
        <v>174</v>
      </c>
    </row>
    <row r="122" spans="1:2" x14ac:dyDescent="0.25">
      <c r="A122" s="25">
        <v>885770</v>
      </c>
      <c r="B122" s="25" t="s">
        <v>145</v>
      </c>
    </row>
    <row r="123" spans="1:2" x14ac:dyDescent="0.25">
      <c r="A123" s="25">
        <v>889257</v>
      </c>
      <c r="B123" s="25" t="s">
        <v>145</v>
      </c>
    </row>
    <row r="124" spans="1:2" x14ac:dyDescent="0.25">
      <c r="B124" s="25" t="s">
        <v>146</v>
      </c>
    </row>
    <row r="125" spans="1:2" x14ac:dyDescent="0.25">
      <c r="B125" s="25" t="s">
        <v>146</v>
      </c>
    </row>
    <row r="126" spans="1:2" x14ac:dyDescent="0.25">
      <c r="A126" s="25">
        <v>884348</v>
      </c>
      <c r="B126" s="25" t="s">
        <v>147</v>
      </c>
    </row>
    <row r="127" spans="1:2" x14ac:dyDescent="0.25">
      <c r="A127" s="25">
        <v>884235</v>
      </c>
      <c r="B127" s="25" t="s">
        <v>147</v>
      </c>
    </row>
    <row r="128" spans="1:2" x14ac:dyDescent="0.25">
      <c r="A128" s="25">
        <v>884615</v>
      </c>
      <c r="B128" s="25" t="s">
        <v>148</v>
      </c>
    </row>
    <row r="129" spans="1:2" x14ac:dyDescent="0.25">
      <c r="A129" s="25">
        <v>889360</v>
      </c>
      <c r="B129" s="25" t="s">
        <v>148</v>
      </c>
    </row>
    <row r="130" spans="1:2" x14ac:dyDescent="0.25">
      <c r="A130" s="25">
        <v>889746</v>
      </c>
      <c r="B130" s="25" t="s">
        <v>149</v>
      </c>
    </row>
    <row r="131" spans="1:2" x14ac:dyDescent="0.25">
      <c r="A131" s="25">
        <v>889171</v>
      </c>
      <c r="B131" s="25" t="s">
        <v>149</v>
      </c>
    </row>
    <row r="132" spans="1:2" x14ac:dyDescent="0.25">
      <c r="A132" s="25">
        <v>884043</v>
      </c>
      <c r="B132" s="25" t="s">
        <v>150</v>
      </c>
    </row>
    <row r="133" spans="1:2" x14ac:dyDescent="0.25">
      <c r="A133" s="25">
        <v>885731</v>
      </c>
      <c r="B133" s="25" t="s">
        <v>150</v>
      </c>
    </row>
    <row r="134" spans="1:2" x14ac:dyDescent="0.25">
      <c r="B134" s="25" t="s">
        <v>151</v>
      </c>
    </row>
    <row r="135" spans="1:2" x14ac:dyDescent="0.25">
      <c r="B135" s="25" t="s">
        <v>151</v>
      </c>
    </row>
    <row r="136" spans="1:2" x14ac:dyDescent="0.25">
      <c r="A136" s="25">
        <v>883568</v>
      </c>
      <c r="B136" s="25" t="s">
        <v>152</v>
      </c>
    </row>
    <row r="137" spans="1:2" x14ac:dyDescent="0.25">
      <c r="A137" s="25">
        <v>890373</v>
      </c>
      <c r="B137" s="25" t="s">
        <v>152</v>
      </c>
    </row>
    <row r="138" spans="1:2" x14ac:dyDescent="0.25">
      <c r="A138" s="25">
        <v>885381</v>
      </c>
      <c r="B138" s="25" t="s">
        <v>153</v>
      </c>
    </row>
    <row r="139" spans="1:2" x14ac:dyDescent="0.25">
      <c r="A139" s="25">
        <v>887288</v>
      </c>
      <c r="B139" s="25" t="s">
        <v>153</v>
      </c>
    </row>
    <row r="140" spans="1:2" x14ac:dyDescent="0.25">
      <c r="A140" s="25">
        <v>886905</v>
      </c>
      <c r="B140" s="25" t="s">
        <v>154</v>
      </c>
    </row>
    <row r="141" spans="1:2" x14ac:dyDescent="0.25">
      <c r="A141" s="25">
        <v>888199</v>
      </c>
      <c r="B141" s="25" t="s">
        <v>154</v>
      </c>
    </row>
    <row r="142" spans="1:2" x14ac:dyDescent="0.25">
      <c r="A142" s="25">
        <v>885199</v>
      </c>
      <c r="B142" s="25" t="s">
        <v>155</v>
      </c>
    </row>
    <row r="143" spans="1:2" x14ac:dyDescent="0.25">
      <c r="A143" s="25">
        <v>888822</v>
      </c>
      <c r="B143" s="25" t="s">
        <v>155</v>
      </c>
    </row>
    <row r="144" spans="1:2" x14ac:dyDescent="0.25">
      <c r="A144" s="25">
        <v>890887</v>
      </c>
      <c r="B144" s="25" t="s">
        <v>156</v>
      </c>
    </row>
    <row r="145" spans="1:2" x14ac:dyDescent="0.25">
      <c r="A145" s="25">
        <v>883686</v>
      </c>
      <c r="B145" s="25" t="s">
        <v>156</v>
      </c>
    </row>
    <row r="146" spans="1:2" x14ac:dyDescent="0.25">
      <c r="B146" s="25" t="s">
        <v>157</v>
      </c>
    </row>
    <row r="147" spans="1:2" x14ac:dyDescent="0.25">
      <c r="B147" s="25" t="s">
        <v>157</v>
      </c>
    </row>
    <row r="148" spans="1:2" x14ac:dyDescent="0.25">
      <c r="A148" s="25">
        <v>884002</v>
      </c>
      <c r="B148" s="25" t="s">
        <v>158</v>
      </c>
    </row>
    <row r="149" spans="1:2" x14ac:dyDescent="0.25">
      <c r="A149" s="25">
        <v>886106</v>
      </c>
      <c r="B149" s="25" t="s">
        <v>158</v>
      </c>
    </row>
    <row r="150" spans="1:2" x14ac:dyDescent="0.25">
      <c r="A150" s="25">
        <v>883821</v>
      </c>
      <c r="B150" s="25" t="s">
        <v>159</v>
      </c>
    </row>
    <row r="151" spans="1:2" x14ac:dyDescent="0.25">
      <c r="A151" s="25">
        <v>887633</v>
      </c>
      <c r="B151" s="25" t="s">
        <v>159</v>
      </c>
    </row>
    <row r="152" spans="1:2" x14ac:dyDescent="0.25">
      <c r="A152" s="25">
        <v>891272</v>
      </c>
      <c r="B152" s="25" t="s">
        <v>160</v>
      </c>
    </row>
    <row r="153" spans="1:2" x14ac:dyDescent="0.25">
      <c r="A153" s="25">
        <v>886455</v>
      </c>
      <c r="B153" s="25" t="s">
        <v>160</v>
      </c>
    </row>
    <row r="154" spans="1:2" x14ac:dyDescent="0.25">
      <c r="A154" s="25">
        <v>884798</v>
      </c>
      <c r="B154" s="25" t="s">
        <v>161</v>
      </c>
    </row>
    <row r="155" spans="1:2" x14ac:dyDescent="0.25">
      <c r="A155" s="25">
        <v>885632</v>
      </c>
      <c r="B155" s="25" t="s">
        <v>161</v>
      </c>
    </row>
    <row r="156" spans="1:2" x14ac:dyDescent="0.25">
      <c r="B156" s="25" t="s">
        <v>162</v>
      </c>
    </row>
    <row r="157" spans="1:2" x14ac:dyDescent="0.25">
      <c r="B157" s="25" t="s">
        <v>162</v>
      </c>
    </row>
    <row r="158" spans="1:2" x14ac:dyDescent="0.25">
      <c r="A158" s="25">
        <v>889642</v>
      </c>
      <c r="B158" s="25" t="s">
        <v>163</v>
      </c>
    </row>
    <row r="159" spans="1:2" x14ac:dyDescent="0.25">
      <c r="A159" s="25">
        <v>889717</v>
      </c>
      <c r="B159" s="25" t="s">
        <v>163</v>
      </c>
    </row>
    <row r="160" spans="1:2" x14ac:dyDescent="0.25">
      <c r="A160" s="25">
        <v>891057</v>
      </c>
      <c r="B160" s="25" t="s">
        <v>164</v>
      </c>
    </row>
    <row r="161" spans="1:2" x14ac:dyDescent="0.25">
      <c r="A161" s="25">
        <v>884997</v>
      </c>
      <c r="B161" s="25" t="s">
        <v>164</v>
      </c>
    </row>
    <row r="162" spans="1:2" x14ac:dyDescent="0.25">
      <c r="A162" s="25">
        <v>889872</v>
      </c>
      <c r="B162" s="25" t="s">
        <v>165</v>
      </c>
    </row>
    <row r="163" spans="1:2" x14ac:dyDescent="0.25">
      <c r="A163" s="25">
        <v>888407</v>
      </c>
      <c r="B163" s="25" t="s">
        <v>165</v>
      </c>
    </row>
    <row r="164" spans="1:2" x14ac:dyDescent="0.25">
      <c r="A164" s="25">
        <v>885662</v>
      </c>
      <c r="B164" s="25" t="s">
        <v>166</v>
      </c>
    </row>
    <row r="165" spans="1:2" x14ac:dyDescent="0.25">
      <c r="A165" s="25">
        <v>884645</v>
      </c>
      <c r="B165" s="25" t="s">
        <v>166</v>
      </c>
    </row>
    <row r="166" spans="1:2" x14ac:dyDescent="0.25">
      <c r="A166" s="25">
        <v>886117</v>
      </c>
      <c r="B166" s="25" t="s">
        <v>167</v>
      </c>
    </row>
    <row r="167" spans="1:2" x14ac:dyDescent="0.25">
      <c r="A167" s="25">
        <v>887807</v>
      </c>
      <c r="B167" s="25" t="s">
        <v>167</v>
      </c>
    </row>
    <row r="168" spans="1:2" x14ac:dyDescent="0.25">
      <c r="A168" s="25">
        <v>889541</v>
      </c>
      <c r="B168" s="25" t="s">
        <v>168</v>
      </c>
    </row>
    <row r="169" spans="1:2" x14ac:dyDescent="0.25">
      <c r="A169" s="25">
        <v>888519</v>
      </c>
      <c r="B169" s="25" t="s">
        <v>168</v>
      </c>
    </row>
    <row r="170" spans="1:2" x14ac:dyDescent="0.25">
      <c r="A170" s="25">
        <v>884439</v>
      </c>
      <c r="B170" s="25" t="s">
        <v>169</v>
      </c>
    </row>
    <row r="171" spans="1:2" x14ac:dyDescent="0.25">
      <c r="A171" s="25">
        <v>886397</v>
      </c>
      <c r="B171" s="25" t="s">
        <v>169</v>
      </c>
    </row>
    <row r="172" spans="1:2" x14ac:dyDescent="0.25">
      <c r="A172" s="25">
        <v>886817</v>
      </c>
      <c r="B172" s="25" t="s">
        <v>170</v>
      </c>
    </row>
    <row r="173" spans="1:2" x14ac:dyDescent="0.25">
      <c r="A173" s="25">
        <v>886738</v>
      </c>
      <c r="B173" s="25" t="s">
        <v>170</v>
      </c>
    </row>
    <row r="174" spans="1:2" x14ac:dyDescent="0.25">
      <c r="A174" s="25">
        <v>886390</v>
      </c>
      <c r="B174" s="25" t="s">
        <v>171</v>
      </c>
    </row>
    <row r="175" spans="1:2" x14ac:dyDescent="0.25">
      <c r="A175" s="25">
        <v>886376</v>
      </c>
      <c r="B175" s="25" t="s">
        <v>171</v>
      </c>
    </row>
    <row r="176" spans="1:2" x14ac:dyDescent="0.25">
      <c r="A176" s="25">
        <v>886730</v>
      </c>
      <c r="B176" s="25" t="s">
        <v>172</v>
      </c>
    </row>
    <row r="177" spans="1:2" x14ac:dyDescent="0.25">
      <c r="A177" s="25">
        <v>886799</v>
      </c>
      <c r="B177" s="25" t="s">
        <v>172</v>
      </c>
    </row>
    <row r="178" spans="1:2" x14ac:dyDescent="0.25">
      <c r="A178" s="25">
        <v>886509</v>
      </c>
      <c r="B178" s="25" t="s">
        <v>173</v>
      </c>
    </row>
    <row r="179" spans="1:2" x14ac:dyDescent="0.25">
      <c r="A179" s="25">
        <v>888026</v>
      </c>
      <c r="B179" s="25" t="s">
        <v>173</v>
      </c>
    </row>
    <row r="180" spans="1:2" x14ac:dyDescent="0.25">
      <c r="A180" s="25">
        <v>884695</v>
      </c>
      <c r="B180" s="25" t="s">
        <v>174</v>
      </c>
    </row>
    <row r="181" spans="1:2" x14ac:dyDescent="0.25">
      <c r="A181" s="25">
        <v>884647</v>
      </c>
      <c r="B181" s="25" t="s">
        <v>174</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665990-7EB2-461C-ACE3-0B302285C66E}">
  <sheetPr codeName="Sheet4"/>
  <dimension ref="A1:AZ57"/>
  <sheetViews>
    <sheetView showGridLines="0" tabSelected="1" zoomScale="40" zoomScaleNormal="40" workbookViewId="0">
      <selection activeCell="M39" sqref="M39"/>
    </sheetView>
  </sheetViews>
  <sheetFormatPr defaultColWidth="0" defaultRowHeight="15" zeroHeight="1" x14ac:dyDescent="0.25"/>
  <cols>
    <col min="1" max="1" width="5.42578125" customWidth="1"/>
    <col min="2" max="2" width="40.7109375" customWidth="1"/>
    <col min="3" max="3" width="2.85546875" customWidth="1"/>
    <col min="4" max="4" width="2.7109375" customWidth="1"/>
    <col min="5" max="5" width="40.7109375" customWidth="1"/>
    <col min="6" max="6" width="2.7109375" bestFit="1" customWidth="1"/>
    <col min="7" max="7" width="2.7109375" customWidth="1"/>
    <col min="8" max="8" width="40.7109375" customWidth="1"/>
    <col min="9" max="9" width="2.7109375" bestFit="1" customWidth="1"/>
    <col min="10" max="10" width="2.7109375" customWidth="1"/>
    <col min="11" max="11" width="40.7109375" customWidth="1"/>
    <col min="12" max="12" width="2.7109375" style="59" customWidth="1"/>
    <col min="13" max="13" width="3.7109375" customWidth="1"/>
    <col min="14" max="14" width="17.5703125" customWidth="1"/>
    <col min="15" max="16" width="9.140625" customWidth="1"/>
    <col min="17" max="17" width="37.85546875" customWidth="1"/>
    <col min="18" max="18" width="2.7109375" bestFit="1" customWidth="1"/>
    <col min="19" max="19" width="23.140625" customWidth="1"/>
    <col min="20" max="20" width="10.28515625" customWidth="1"/>
    <col min="21" max="22" width="9.140625" customWidth="1"/>
    <col min="23" max="23" width="10.5703125" customWidth="1"/>
    <col min="24" max="29" width="9.140625" customWidth="1"/>
    <col min="30" max="32" width="9.140625" hidden="1" customWidth="1"/>
    <col min="33" max="33" width="10.5703125" hidden="1" customWidth="1"/>
    <col min="34" max="52" width="0" hidden="1" customWidth="1"/>
    <col min="53" max="16384" width="9.140625" hidden="1"/>
  </cols>
  <sheetData>
    <row r="1" spans="2:20" ht="6.75" customHeight="1" x14ac:dyDescent="0.25"/>
    <row r="2" spans="2:20" ht="15" customHeight="1" x14ac:dyDescent="0.25">
      <c r="B2" s="24"/>
      <c r="C2" s="24"/>
      <c r="D2" s="24"/>
      <c r="E2" s="24"/>
      <c r="F2" s="24"/>
      <c r="G2" s="24"/>
      <c r="H2" s="24"/>
      <c r="I2" s="24"/>
      <c r="J2" s="24"/>
      <c r="K2" s="24"/>
      <c r="L2" s="24"/>
      <c r="M2" s="24"/>
      <c r="N2" s="24"/>
      <c r="O2" s="24"/>
      <c r="P2" s="24"/>
      <c r="Q2" s="24"/>
      <c r="R2" s="24"/>
      <c r="S2" s="24"/>
      <c r="T2" s="24"/>
    </row>
    <row r="3" spans="2:20" ht="15" customHeight="1" x14ac:dyDescent="0.25">
      <c r="B3" s="24"/>
      <c r="C3" s="24"/>
      <c r="D3" s="24"/>
      <c r="E3" s="24"/>
      <c r="F3" s="24"/>
      <c r="G3" s="24"/>
      <c r="H3" s="24"/>
      <c r="I3" s="24"/>
      <c r="J3" s="24"/>
      <c r="K3" s="24"/>
      <c r="L3" s="24"/>
      <c r="M3" s="24"/>
      <c r="N3" s="24"/>
      <c r="O3" s="24"/>
      <c r="P3" s="24"/>
      <c r="Q3" s="24"/>
      <c r="R3" s="24"/>
      <c r="S3" s="24"/>
      <c r="T3" s="24"/>
    </row>
    <row r="4" spans="2:20" ht="15" customHeight="1" x14ac:dyDescent="0.25">
      <c r="B4" s="24"/>
      <c r="C4" s="24"/>
      <c r="D4" s="24"/>
      <c r="E4" s="24"/>
      <c r="F4" s="24"/>
      <c r="G4" s="24"/>
      <c r="H4" s="24"/>
      <c r="I4" s="24"/>
      <c r="J4" s="24"/>
      <c r="K4" s="24"/>
      <c r="L4" s="24"/>
      <c r="M4" s="24"/>
      <c r="N4" s="24"/>
      <c r="O4" s="24"/>
      <c r="P4" s="24"/>
      <c r="Q4" s="24"/>
      <c r="R4" s="24"/>
      <c r="S4" s="24"/>
      <c r="T4" s="24"/>
    </row>
    <row r="5" spans="2:20" ht="15" customHeight="1" x14ac:dyDescent="0.25">
      <c r="B5" s="24"/>
      <c r="C5" s="24"/>
      <c r="D5" s="24"/>
      <c r="E5" s="24"/>
      <c r="F5" s="24"/>
      <c r="G5" s="24"/>
      <c r="H5" s="24"/>
      <c r="I5" s="24"/>
      <c r="J5" s="24"/>
      <c r="K5" s="24"/>
      <c r="L5" s="24"/>
      <c r="M5" s="24"/>
      <c r="N5" s="24"/>
      <c r="O5" s="24"/>
      <c r="P5" s="24"/>
      <c r="Q5" s="24"/>
      <c r="R5" s="24"/>
      <c r="S5" s="24"/>
      <c r="T5" s="24"/>
    </row>
    <row r="6" spans="2:20" ht="23.25" customHeight="1" x14ac:dyDescent="0.25"/>
    <row r="7" spans="2:20" x14ac:dyDescent="0.25">
      <c r="B7" s="23"/>
      <c r="C7" s="23"/>
      <c r="M7" s="50"/>
    </row>
    <row r="8" spans="2:20" ht="9.75" customHeight="1" x14ac:dyDescent="0.25">
      <c r="M8" s="50"/>
    </row>
    <row r="9" spans="2:20" ht="20.25" customHeight="1" x14ac:dyDescent="0.25">
      <c r="B9" s="37" t="s">
        <v>254</v>
      </c>
      <c r="C9" s="36" t="s">
        <v>181</v>
      </c>
      <c r="E9" s="37" t="s">
        <v>180</v>
      </c>
      <c r="F9" s="36" t="s">
        <v>181</v>
      </c>
      <c r="H9" s="37" t="s">
        <v>188</v>
      </c>
      <c r="I9" s="36" t="s">
        <v>181</v>
      </c>
      <c r="J9" s="53"/>
      <c r="K9" s="37" t="s">
        <v>256</v>
      </c>
      <c r="L9" s="36" t="s">
        <v>181</v>
      </c>
      <c r="M9" s="50"/>
      <c r="Q9" s="55"/>
      <c r="R9" s="53"/>
      <c r="S9" s="47"/>
      <c r="T9" s="47"/>
    </row>
    <row r="10" spans="2:20" ht="15" customHeight="1" x14ac:dyDescent="0.25">
      <c r="M10" s="50"/>
    </row>
    <row r="11" spans="2:20" ht="15" customHeight="1" x14ac:dyDescent="0.25">
      <c r="M11" s="50"/>
    </row>
    <row r="12" spans="2:20" x14ac:dyDescent="0.25">
      <c r="M12" s="50"/>
    </row>
    <row r="13" spans="2:20" x14ac:dyDescent="0.25">
      <c r="M13" s="50"/>
    </row>
    <row r="14" spans="2:20" x14ac:dyDescent="0.25">
      <c r="M14" s="50"/>
    </row>
    <row r="15" spans="2:20" x14ac:dyDescent="0.25">
      <c r="M15" s="50"/>
    </row>
    <row r="16" spans="2:20" x14ac:dyDescent="0.25">
      <c r="M16" s="50"/>
    </row>
    <row r="17" spans="13:13" x14ac:dyDescent="0.25">
      <c r="M17" s="50"/>
    </row>
    <row r="18" spans="13:13" x14ac:dyDescent="0.25">
      <c r="M18" s="50"/>
    </row>
    <row r="19" spans="13:13" x14ac:dyDescent="0.25">
      <c r="M19" s="50"/>
    </row>
    <row r="20" spans="13:13" x14ac:dyDescent="0.25">
      <c r="M20" s="50"/>
    </row>
    <row r="21" spans="13:13" x14ac:dyDescent="0.25">
      <c r="M21" s="50"/>
    </row>
    <row r="22" spans="13:13" x14ac:dyDescent="0.25">
      <c r="M22" s="50"/>
    </row>
    <row r="23" spans="13:13" x14ac:dyDescent="0.25">
      <c r="M23" s="50"/>
    </row>
    <row r="24" spans="13:13" x14ac:dyDescent="0.25">
      <c r="M24" s="50"/>
    </row>
    <row r="25" spans="13:13" x14ac:dyDescent="0.25">
      <c r="M25" s="50"/>
    </row>
    <row r="26" spans="13:13" x14ac:dyDescent="0.25">
      <c r="M26" s="50"/>
    </row>
    <row r="27" spans="13:13" x14ac:dyDescent="0.25">
      <c r="M27" s="50"/>
    </row>
    <row r="28" spans="13:13" x14ac:dyDescent="0.25">
      <c r="M28" s="50"/>
    </row>
    <row r="29" spans="13:13" x14ac:dyDescent="0.25">
      <c r="M29" s="50"/>
    </row>
    <row r="30" spans="13:13" x14ac:dyDescent="0.25">
      <c r="M30" s="50"/>
    </row>
    <row r="31" spans="13:13" x14ac:dyDescent="0.25">
      <c r="M31" s="50"/>
    </row>
    <row r="32" spans="13:13" x14ac:dyDescent="0.25">
      <c r="M32" s="50"/>
    </row>
    <row r="33" spans="2:13" x14ac:dyDescent="0.25">
      <c r="M33" s="50"/>
    </row>
    <row r="34" spans="2:13" x14ac:dyDescent="0.25">
      <c r="B34" s="49"/>
      <c r="C34" s="49"/>
      <c r="D34" s="49"/>
      <c r="E34" s="49"/>
      <c r="F34" s="49"/>
      <c r="G34" s="49"/>
      <c r="H34" s="49"/>
      <c r="I34" s="49"/>
      <c r="J34" s="49"/>
      <c r="K34" s="49"/>
      <c r="L34" s="49"/>
      <c r="M34" s="51"/>
    </row>
    <row r="35" spans="2:13" x14ac:dyDescent="0.25">
      <c r="M35" s="50"/>
    </row>
    <row r="36" spans="2:13" x14ac:dyDescent="0.25">
      <c r="M36" s="50"/>
    </row>
    <row r="37" spans="2:13" x14ac:dyDescent="0.25">
      <c r="M37" s="50"/>
    </row>
    <row r="38" spans="2:13" ht="26.25" x14ac:dyDescent="0.4">
      <c r="B38" s="60"/>
      <c r="C38" s="113"/>
      <c r="D38" s="113"/>
      <c r="E38" s="113"/>
      <c r="F38" s="113"/>
      <c r="G38" s="113"/>
      <c r="H38" s="113"/>
      <c r="I38" s="113"/>
      <c r="J38" s="113"/>
      <c r="K38" s="113"/>
      <c r="L38" s="69"/>
      <c r="M38" s="52"/>
    </row>
    <row r="39" spans="2:13" ht="26.25" x14ac:dyDescent="0.4">
      <c r="B39" s="61"/>
      <c r="C39" s="111"/>
      <c r="D39" s="112"/>
      <c r="E39" s="110"/>
      <c r="F39" s="110"/>
      <c r="G39" s="110"/>
      <c r="H39" s="110"/>
      <c r="I39" s="110"/>
      <c r="J39" s="110"/>
      <c r="K39" s="110"/>
      <c r="L39" s="68"/>
      <c r="M39" s="52"/>
    </row>
    <row r="40" spans="2:13" ht="26.25" x14ac:dyDescent="0.4">
      <c r="B40" s="61"/>
      <c r="C40" s="111"/>
      <c r="D40" s="112"/>
      <c r="E40" s="110"/>
      <c r="F40" s="110"/>
      <c r="G40" s="110"/>
      <c r="H40" s="110"/>
      <c r="I40" s="110"/>
      <c r="J40" s="110"/>
      <c r="K40" s="110"/>
      <c r="L40" s="68"/>
      <c r="M40" s="52"/>
    </row>
    <row r="41" spans="2:13" ht="26.25" x14ac:dyDescent="0.4">
      <c r="B41" s="61"/>
      <c r="C41" s="111"/>
      <c r="D41" s="112"/>
      <c r="E41" s="110"/>
      <c r="F41" s="110"/>
      <c r="G41" s="110"/>
      <c r="H41" s="110"/>
      <c r="I41" s="110"/>
      <c r="J41" s="110"/>
      <c r="K41" s="110"/>
      <c r="L41" s="68"/>
      <c r="M41" s="52"/>
    </row>
    <row r="42" spans="2:13" ht="26.25" x14ac:dyDescent="0.4">
      <c r="B42" s="61"/>
      <c r="C42" s="111"/>
      <c r="D42" s="112"/>
      <c r="E42" s="110"/>
      <c r="F42" s="110"/>
      <c r="G42" s="110"/>
      <c r="H42" s="110"/>
      <c r="I42" s="110"/>
      <c r="J42" s="110"/>
      <c r="K42" s="110"/>
      <c r="L42" s="68"/>
      <c r="M42" s="52"/>
    </row>
    <row r="43" spans="2:13" ht="26.25" x14ac:dyDescent="0.4">
      <c r="B43" s="61"/>
      <c r="C43" s="62"/>
      <c r="D43" s="61"/>
      <c r="E43" s="110"/>
      <c r="F43" s="110"/>
      <c r="G43" s="110"/>
      <c r="H43" s="110"/>
      <c r="I43" s="110"/>
      <c r="J43" s="110"/>
      <c r="K43" s="110"/>
      <c r="L43" s="68"/>
      <c r="M43" s="52"/>
    </row>
    <row r="44" spans="2:13" ht="26.25" x14ac:dyDescent="0.4">
      <c r="B44" s="61"/>
      <c r="C44" s="62"/>
      <c r="D44" s="61"/>
      <c r="E44" s="110"/>
      <c r="F44" s="110"/>
      <c r="G44" s="110"/>
      <c r="H44" s="110"/>
      <c r="I44" s="110"/>
      <c r="J44" s="110"/>
      <c r="K44" s="110"/>
      <c r="L44" s="68"/>
      <c r="M44" s="52"/>
    </row>
    <row r="45" spans="2:13" ht="26.25" x14ac:dyDescent="0.4">
      <c r="B45" s="61"/>
      <c r="C45" s="62"/>
      <c r="D45" s="61"/>
      <c r="E45" s="110"/>
      <c r="F45" s="110"/>
      <c r="G45" s="110"/>
      <c r="H45" s="110"/>
      <c r="I45" s="110"/>
      <c r="J45" s="110"/>
      <c r="K45" s="110"/>
      <c r="L45" s="68"/>
      <c r="M45" s="52"/>
    </row>
    <row r="46" spans="2:13" ht="26.25" x14ac:dyDescent="0.4">
      <c r="B46" s="61"/>
      <c r="C46" s="62"/>
      <c r="D46" s="61"/>
      <c r="E46" s="110"/>
      <c r="F46" s="110"/>
      <c r="G46" s="110"/>
      <c r="H46" s="110"/>
      <c r="I46" s="110"/>
      <c r="J46" s="110"/>
      <c r="K46" s="110"/>
      <c r="L46" s="68"/>
      <c r="M46" s="52"/>
    </row>
    <row r="47" spans="2:13" ht="26.25" x14ac:dyDescent="0.4">
      <c r="B47" s="61"/>
      <c r="C47" s="62"/>
      <c r="D47" s="61"/>
      <c r="E47" s="110"/>
      <c r="F47" s="110"/>
      <c r="G47" s="110"/>
      <c r="H47" s="110"/>
      <c r="I47" s="110"/>
      <c r="J47" s="110"/>
      <c r="K47" s="110"/>
      <c r="L47" s="68"/>
      <c r="M47" s="52"/>
    </row>
    <row r="48" spans="2:13" ht="26.25" x14ac:dyDescent="0.4">
      <c r="B48" s="61"/>
      <c r="C48" s="62"/>
      <c r="D48" s="61"/>
      <c r="E48" s="110"/>
      <c r="F48" s="110"/>
      <c r="G48" s="110"/>
      <c r="H48" s="110"/>
      <c r="I48" s="110"/>
      <c r="J48" s="110"/>
      <c r="K48" s="110"/>
      <c r="L48" s="68"/>
      <c r="M48" s="52"/>
    </row>
    <row r="49" spans="2:13" ht="26.25" x14ac:dyDescent="0.4">
      <c r="B49" s="61"/>
      <c r="C49" s="62"/>
      <c r="D49" s="61"/>
      <c r="E49" s="110"/>
      <c r="F49" s="110"/>
      <c r="G49" s="110"/>
      <c r="H49" s="110"/>
      <c r="I49" s="110"/>
      <c r="J49" s="110"/>
      <c r="K49" s="110"/>
      <c r="L49" s="68"/>
      <c r="M49" s="52"/>
    </row>
    <row r="50" spans="2:13" ht="26.25" x14ac:dyDescent="0.4">
      <c r="B50" s="61"/>
      <c r="C50" s="62"/>
      <c r="D50" s="61"/>
      <c r="E50" s="110"/>
      <c r="F50" s="110"/>
      <c r="G50" s="110"/>
      <c r="H50" s="110"/>
      <c r="I50" s="110"/>
      <c r="J50" s="110"/>
      <c r="K50" s="110"/>
      <c r="L50" s="68"/>
      <c r="M50" s="52"/>
    </row>
    <row r="51" spans="2:13" ht="26.25" x14ac:dyDescent="0.4">
      <c r="B51" s="61"/>
      <c r="C51" s="62"/>
      <c r="D51" s="61"/>
      <c r="E51" s="110"/>
      <c r="F51" s="110"/>
      <c r="G51" s="110"/>
      <c r="H51" s="110"/>
      <c r="I51" s="110"/>
      <c r="J51" s="110"/>
      <c r="K51" s="110"/>
      <c r="L51" s="68"/>
      <c r="M51" s="52"/>
    </row>
    <row r="52" spans="2:13" ht="26.25" x14ac:dyDescent="0.4">
      <c r="B52" s="61"/>
      <c r="C52" s="62"/>
      <c r="D52" s="61"/>
      <c r="E52" s="110"/>
      <c r="F52" s="110"/>
      <c r="G52" s="110"/>
      <c r="H52" s="110"/>
      <c r="I52" s="110"/>
      <c r="J52" s="110"/>
      <c r="K52" s="110"/>
      <c r="L52" s="68"/>
      <c r="M52" s="52"/>
    </row>
    <row r="53" spans="2:13" ht="26.25" x14ac:dyDescent="0.4">
      <c r="B53" s="61"/>
      <c r="C53" s="62"/>
      <c r="D53" s="61"/>
      <c r="E53" s="110"/>
      <c r="F53" s="110"/>
      <c r="G53" s="110"/>
      <c r="H53" s="110"/>
      <c r="I53" s="110"/>
      <c r="J53" s="110"/>
      <c r="K53" s="110"/>
      <c r="L53" s="68"/>
      <c r="M53" s="52"/>
    </row>
    <row r="54" spans="2:13" hidden="1" x14ac:dyDescent="0.25">
      <c r="B54" s="63"/>
      <c r="C54" s="109"/>
      <c r="D54" s="109"/>
      <c r="E54" s="109"/>
      <c r="F54" s="109"/>
      <c r="G54" s="63"/>
      <c r="H54" s="63"/>
      <c r="I54" s="63"/>
      <c r="J54" s="63"/>
      <c r="K54" s="63"/>
      <c r="L54" s="70"/>
    </row>
    <row r="55" spans="2:13" hidden="1" x14ac:dyDescent="0.25">
      <c r="B55" s="63"/>
      <c r="C55" s="63"/>
      <c r="D55" s="63"/>
      <c r="E55" s="63"/>
      <c r="F55" s="63"/>
      <c r="G55" s="63"/>
      <c r="H55" s="63"/>
      <c r="I55" s="63"/>
      <c r="J55" s="63"/>
      <c r="K55" s="63"/>
      <c r="L55" s="70"/>
    </row>
    <row r="56" spans="2:13" hidden="1" x14ac:dyDescent="0.25">
      <c r="B56" s="63"/>
      <c r="C56" s="63"/>
      <c r="D56" s="63"/>
      <c r="E56" s="63"/>
      <c r="F56" s="63"/>
      <c r="G56" s="63"/>
      <c r="H56" s="63"/>
      <c r="I56" s="63"/>
      <c r="J56" s="63"/>
      <c r="K56" s="63"/>
      <c r="L56" s="70"/>
    </row>
    <row r="57" spans="2:13" hidden="1" x14ac:dyDescent="0.25">
      <c r="B57" s="63"/>
      <c r="C57" s="63"/>
      <c r="D57" s="63"/>
      <c r="E57" s="63"/>
      <c r="F57" s="63"/>
      <c r="G57" s="63"/>
      <c r="H57" s="63"/>
      <c r="I57" s="63"/>
      <c r="J57" s="63"/>
      <c r="K57" s="63"/>
      <c r="L57" s="70"/>
    </row>
  </sheetData>
  <mergeCells count="55">
    <mergeCell ref="I44:K44"/>
    <mergeCell ref="I45:K45"/>
    <mergeCell ref="I46:K46"/>
    <mergeCell ref="G52:H52"/>
    <mergeCell ref="G53:H53"/>
    <mergeCell ref="G51:H51"/>
    <mergeCell ref="I49:K49"/>
    <mergeCell ref="I50:K50"/>
    <mergeCell ref="I47:K47"/>
    <mergeCell ref="I48:K48"/>
    <mergeCell ref="I53:K53"/>
    <mergeCell ref="I51:K51"/>
    <mergeCell ref="I52:K52"/>
    <mergeCell ref="E51:F51"/>
    <mergeCell ref="G49:H49"/>
    <mergeCell ref="G50:H50"/>
    <mergeCell ref="G44:H44"/>
    <mergeCell ref="G45:H45"/>
    <mergeCell ref="E46:F46"/>
    <mergeCell ref="E47:F47"/>
    <mergeCell ref="E48:F48"/>
    <mergeCell ref="G46:H46"/>
    <mergeCell ref="G47:H47"/>
    <mergeCell ref="G48:H48"/>
    <mergeCell ref="G43:H43"/>
    <mergeCell ref="C38:D38"/>
    <mergeCell ref="I38:K38"/>
    <mergeCell ref="G38:H38"/>
    <mergeCell ref="E38:F38"/>
    <mergeCell ref="C39:D39"/>
    <mergeCell ref="G39:H39"/>
    <mergeCell ref="G40:H40"/>
    <mergeCell ref="G41:H41"/>
    <mergeCell ref="G42:H42"/>
    <mergeCell ref="I39:K39"/>
    <mergeCell ref="I40:K40"/>
    <mergeCell ref="I41:K41"/>
    <mergeCell ref="I42:K42"/>
    <mergeCell ref="I43:K43"/>
    <mergeCell ref="C54:D54"/>
    <mergeCell ref="E39:F39"/>
    <mergeCell ref="E40:F40"/>
    <mergeCell ref="E41:F41"/>
    <mergeCell ref="E42:F42"/>
    <mergeCell ref="E43:F43"/>
    <mergeCell ref="E44:F44"/>
    <mergeCell ref="E45:F45"/>
    <mergeCell ref="C40:D40"/>
    <mergeCell ref="C41:D41"/>
    <mergeCell ref="C42:D42"/>
    <mergeCell ref="E54:F54"/>
    <mergeCell ref="E52:F52"/>
    <mergeCell ref="E53:F53"/>
    <mergeCell ref="E49:F49"/>
    <mergeCell ref="E50:F50"/>
  </mergeCells>
  <dataValidations count="3">
    <dataValidation type="list" allowBlank="1" showInputMessage="1" showErrorMessage="1" sqref="B9" xr:uid="{C9770AA0-67F4-4434-BF54-A3F57195265E}">
      <formula1>Month_List</formula1>
    </dataValidation>
    <dataValidation type="list" allowBlank="1" showInputMessage="1" showErrorMessage="1" sqref="H9" xr:uid="{71799C08-F8F3-4FAC-8DAA-80EA2BFAFF59}">
      <formula1>Product_List</formula1>
    </dataValidation>
    <dataValidation type="list" allowBlank="1" showInputMessage="1" showErrorMessage="1" sqref="K9" xr:uid="{83192E1C-1FB7-4C79-AB61-190ED0B13F34}">
      <formula1>Region_List</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4108" r:id="rId4" name="MonthTopFailDD">
          <controlPr defaultSize="0" autoLine="0" linkedCell="'Data Preparation'!BF2" listFillRange="Month_List_Vertical" r:id="rId5">
            <anchor moveWithCells="1">
              <from>
                <xdr:col>1</xdr:col>
                <xdr:colOff>381000</xdr:colOff>
                <xdr:row>36</xdr:row>
                <xdr:rowOff>38100</xdr:rowOff>
              </from>
              <to>
                <xdr:col>1</xdr:col>
                <xdr:colOff>2533650</xdr:colOff>
                <xdr:row>37</xdr:row>
                <xdr:rowOff>209550</xdr:rowOff>
              </to>
            </anchor>
          </controlPr>
        </control>
      </mc:Choice>
      <mc:Fallback>
        <control shapeId="4108" r:id="rId4" name="MonthTopFailDD"/>
      </mc:Fallback>
    </mc:AlternateContent>
    <mc:AlternateContent xmlns:mc="http://schemas.openxmlformats.org/markup-compatibility/2006">
      <mc:Choice Requires="x14">
        <control shapeId="4113" r:id="rId6" name="WeekTopFailDD">
          <controlPr defaultSize="0" autoLine="0" linkedCell="'Data Preparation'!BG2" listFillRange="Week_List_TopFailed" r:id="rId7">
            <anchor moveWithCells="1">
              <from>
                <xdr:col>3</xdr:col>
                <xdr:colOff>104775</xdr:colOff>
                <xdr:row>36</xdr:row>
                <xdr:rowOff>19050</xdr:rowOff>
              </from>
              <to>
                <xdr:col>4</xdr:col>
                <xdr:colOff>2076450</xdr:colOff>
                <xdr:row>37</xdr:row>
                <xdr:rowOff>200025</xdr:rowOff>
              </to>
            </anchor>
          </controlPr>
        </control>
      </mc:Choice>
      <mc:Fallback>
        <control shapeId="4113" r:id="rId6" name="WeekTopFailDD"/>
      </mc:Fallback>
    </mc:AlternateContent>
    <mc:AlternateContent xmlns:mc="http://schemas.openxmlformats.org/markup-compatibility/2006">
      <mc:Choice Requires="x14">
        <control shapeId="4117" r:id="rId8" name="RegionTopFailDD">
          <controlPr defaultSize="0" autoLine="0" linkedCell="'Data Preparation'!BH2" listFillRange="Region_List" r:id="rId9">
            <anchor moveWithCells="1">
              <from>
                <xdr:col>4</xdr:col>
                <xdr:colOff>2543175</xdr:colOff>
                <xdr:row>36</xdr:row>
                <xdr:rowOff>0</xdr:rowOff>
              </from>
              <to>
                <xdr:col>7</xdr:col>
                <xdr:colOff>1638300</xdr:colOff>
                <xdr:row>37</xdr:row>
                <xdr:rowOff>180975</xdr:rowOff>
              </to>
            </anchor>
          </controlPr>
        </control>
      </mc:Choice>
      <mc:Fallback>
        <control shapeId="4117" r:id="rId8" name="RegionTopFailDD"/>
      </mc:Fallback>
    </mc:AlternateContent>
    <mc:AlternateContent xmlns:mc="http://schemas.openxmlformats.org/markup-compatibility/2006">
      <mc:Choice Requires="x14">
        <control shapeId="4118" r:id="rId10" name="AgentTopFailDD">
          <controlPr defaultSize="0" autoLine="0" linkedCell="'Data Preparation'!BI2" listFillRange="Agent_List" r:id="rId11">
            <anchor moveWithCells="1">
              <from>
                <xdr:col>7</xdr:col>
                <xdr:colOff>2114550</xdr:colOff>
                <xdr:row>36</xdr:row>
                <xdr:rowOff>9525</xdr:rowOff>
              </from>
              <to>
                <xdr:col>10</xdr:col>
                <xdr:colOff>2609850</xdr:colOff>
                <xdr:row>37</xdr:row>
                <xdr:rowOff>180975</xdr:rowOff>
              </to>
            </anchor>
          </controlPr>
        </control>
      </mc:Choice>
      <mc:Fallback>
        <control shapeId="4118" r:id="rId10" name="AgentTopFailDD"/>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FE572E3-9D34-4367-AC6E-AFAFDDEA88F6}">
          <x14:formula1>
            <xm:f>OFFSET(Background!$A$1,1,MATCH($B$9,Background!$A$1:$M$1,0)-1,COUNTA(OFFSET(Background!$A$1,1,MATCH($B$9,Background!$A$1:$M$1,0)-1,10)),1)</xm:f>
          </x14:formula1>
          <xm:sqref>E9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38BFB4-7809-46D4-B627-04B6637D9B07}">
  <sheetPr codeName="Sheet7"/>
  <dimension ref="A1:F115"/>
  <sheetViews>
    <sheetView showGridLines="0" topLeftCell="A6" workbookViewId="0">
      <selection activeCell="M13" sqref="M13"/>
    </sheetView>
  </sheetViews>
  <sheetFormatPr defaultRowHeight="15" x14ac:dyDescent="0.25"/>
  <cols>
    <col min="1" max="1" width="28.28515625" style="22" bestFit="1" customWidth="1"/>
    <col min="2" max="2" width="12.42578125" style="22" bestFit="1" customWidth="1"/>
    <col min="3" max="3" width="17.7109375" style="59" bestFit="1" customWidth="1"/>
    <col min="4" max="4" width="17.5703125" style="59" bestFit="1" customWidth="1"/>
    <col min="5" max="6" width="18.5703125" style="59" bestFit="1" customWidth="1"/>
    <col min="7" max="8" width="21.42578125" style="59" bestFit="1" customWidth="1"/>
    <col min="9" max="16384" width="9.140625" style="59"/>
  </cols>
  <sheetData>
    <row r="1" spans="1:6" hidden="1" x14ac:dyDescent="0.25">
      <c r="A1" s="64" t="s">
        <v>137</v>
      </c>
      <c r="B1" s="22" t="s">
        <v>184</v>
      </c>
    </row>
    <row r="2" spans="1:6" hidden="1" x14ac:dyDescent="0.25">
      <c r="A2" s="64" t="s">
        <v>132</v>
      </c>
      <c r="B2" s="22" t="s">
        <v>184</v>
      </c>
    </row>
    <row r="3" spans="1:6" hidden="1" x14ac:dyDescent="0.25">
      <c r="A3" s="64" t="s">
        <v>133</v>
      </c>
      <c r="B3" s="22" t="s">
        <v>184</v>
      </c>
    </row>
    <row r="4" spans="1:6" hidden="1" x14ac:dyDescent="0.25">
      <c r="A4" s="64" t="s">
        <v>135</v>
      </c>
      <c r="B4" s="22" t="s">
        <v>184</v>
      </c>
    </row>
    <row r="5" spans="1:6" hidden="1" x14ac:dyDescent="0.25"/>
    <row r="6" spans="1:6" x14ac:dyDescent="0.25">
      <c r="A6" s="64" t="s">
        <v>134</v>
      </c>
      <c r="B6" s="22" t="s">
        <v>211</v>
      </c>
      <c r="C6" s="22" t="s">
        <v>209</v>
      </c>
      <c r="D6" s="22" t="s">
        <v>210</v>
      </c>
      <c r="E6" s="22" t="s">
        <v>212</v>
      </c>
      <c r="F6"/>
    </row>
    <row r="7" spans="1:6" x14ac:dyDescent="0.25">
      <c r="A7" s="22" t="s">
        <v>150</v>
      </c>
      <c r="B7" s="67">
        <v>6</v>
      </c>
      <c r="C7" s="39">
        <v>0</v>
      </c>
      <c r="D7" s="39">
        <v>0</v>
      </c>
      <c r="E7" s="39">
        <v>0</v>
      </c>
      <c r="F7"/>
    </row>
    <row r="8" spans="1:6" x14ac:dyDescent="0.25">
      <c r="A8" s="22" t="s">
        <v>156</v>
      </c>
      <c r="B8" s="67">
        <v>6</v>
      </c>
      <c r="C8" s="39">
        <v>0.16666666666666666</v>
      </c>
      <c r="D8" s="39">
        <v>0</v>
      </c>
      <c r="E8" s="39">
        <v>0.16666666666666666</v>
      </c>
      <c r="F8"/>
    </row>
    <row r="9" spans="1:6" x14ac:dyDescent="0.25">
      <c r="A9" s="22" t="s">
        <v>155</v>
      </c>
      <c r="B9" s="67">
        <v>6</v>
      </c>
      <c r="C9" s="39">
        <v>0</v>
      </c>
      <c r="D9" s="39">
        <v>0</v>
      </c>
      <c r="E9" s="39">
        <v>0</v>
      </c>
      <c r="F9"/>
    </row>
    <row r="10" spans="1:6" x14ac:dyDescent="0.25">
      <c r="A10" s="22" t="s">
        <v>170</v>
      </c>
      <c r="B10" s="67">
        <v>6</v>
      </c>
      <c r="C10" s="39">
        <v>0.5</v>
      </c>
      <c r="D10" s="39">
        <v>0.5</v>
      </c>
      <c r="E10" s="39">
        <v>0.16666666666666666</v>
      </c>
      <c r="F10"/>
    </row>
    <row r="11" spans="1:6" x14ac:dyDescent="0.25">
      <c r="A11" s="22" t="s">
        <v>164</v>
      </c>
      <c r="B11" s="67">
        <v>6</v>
      </c>
      <c r="C11" s="39">
        <v>0</v>
      </c>
      <c r="D11" s="39">
        <v>0</v>
      </c>
      <c r="E11" s="39">
        <v>0</v>
      </c>
      <c r="F11"/>
    </row>
    <row r="12" spans="1:6" x14ac:dyDescent="0.25">
      <c r="A12" s="22" t="s">
        <v>167</v>
      </c>
      <c r="B12" s="67">
        <v>6</v>
      </c>
      <c r="C12" s="39">
        <v>0.5</v>
      </c>
      <c r="D12" s="39">
        <v>0.33333333333333331</v>
      </c>
      <c r="E12" s="39">
        <v>0.16666666666666666</v>
      </c>
      <c r="F12"/>
    </row>
    <row r="13" spans="1:6" x14ac:dyDescent="0.25">
      <c r="A13" s="22" t="s">
        <v>169</v>
      </c>
      <c r="B13" s="67">
        <v>6</v>
      </c>
      <c r="C13" s="39">
        <v>0.5</v>
      </c>
      <c r="D13" s="39">
        <v>0.33333333333333331</v>
      </c>
      <c r="E13" s="39">
        <v>0.16666666666666666</v>
      </c>
      <c r="F13"/>
    </row>
    <row r="14" spans="1:6" x14ac:dyDescent="0.25">
      <c r="A14" s="22" t="s">
        <v>166</v>
      </c>
      <c r="B14" s="67">
        <v>6</v>
      </c>
      <c r="C14" s="39">
        <v>0</v>
      </c>
      <c r="D14" s="39">
        <v>0.16666666666666666</v>
      </c>
      <c r="E14" s="39">
        <v>0</v>
      </c>
      <c r="F14"/>
    </row>
    <row r="15" spans="1:6" x14ac:dyDescent="0.25">
      <c r="A15" s="22" t="s">
        <v>171</v>
      </c>
      <c r="B15" s="67">
        <v>6</v>
      </c>
      <c r="C15" s="39">
        <v>0.5</v>
      </c>
      <c r="D15" s="39">
        <v>0.5</v>
      </c>
      <c r="E15" s="39">
        <v>0.16666666666666666</v>
      </c>
      <c r="F15"/>
    </row>
    <row r="16" spans="1:6" x14ac:dyDescent="0.25">
      <c r="A16" s="22" t="s">
        <v>147</v>
      </c>
      <c r="B16" s="67">
        <v>6</v>
      </c>
      <c r="C16" s="39">
        <v>0.33333333333333331</v>
      </c>
      <c r="D16" s="39">
        <v>0.33333333333333331</v>
      </c>
      <c r="E16" s="39">
        <v>0.33333333333333331</v>
      </c>
      <c r="F16"/>
    </row>
    <row r="17" spans="1:6" x14ac:dyDescent="0.25">
      <c r="A17" s="22" t="s">
        <v>160</v>
      </c>
      <c r="B17" s="67">
        <v>6</v>
      </c>
      <c r="C17" s="39">
        <v>0</v>
      </c>
      <c r="D17" s="39">
        <v>0</v>
      </c>
      <c r="E17" s="39">
        <v>0</v>
      </c>
      <c r="F17"/>
    </row>
    <row r="18" spans="1:6" x14ac:dyDescent="0.25">
      <c r="A18" s="22" t="s">
        <v>158</v>
      </c>
      <c r="B18" s="67">
        <v>6</v>
      </c>
      <c r="C18" s="39">
        <v>0</v>
      </c>
      <c r="D18" s="39">
        <v>0.16666666666666666</v>
      </c>
      <c r="E18" s="39">
        <v>0</v>
      </c>
      <c r="F18"/>
    </row>
    <row r="19" spans="1:6" x14ac:dyDescent="0.25">
      <c r="A19" s="22" t="s">
        <v>165</v>
      </c>
      <c r="B19" s="67">
        <v>6</v>
      </c>
      <c r="C19" s="39">
        <v>0.33333333333333331</v>
      </c>
      <c r="D19" s="39">
        <v>0.33333333333333331</v>
      </c>
      <c r="E19" s="39">
        <v>0.16666666666666666</v>
      </c>
      <c r="F19"/>
    </row>
    <row r="20" spans="1:6" x14ac:dyDescent="0.25">
      <c r="A20" s="22" t="s">
        <v>152</v>
      </c>
      <c r="B20" s="67">
        <v>6</v>
      </c>
      <c r="C20" s="39">
        <v>0.16666666666666666</v>
      </c>
      <c r="D20" s="39">
        <v>0</v>
      </c>
      <c r="E20" s="39">
        <v>0.16666666666666666</v>
      </c>
      <c r="F20"/>
    </row>
    <row r="21" spans="1:6" x14ac:dyDescent="0.25">
      <c r="A21" s="22" t="s">
        <v>172</v>
      </c>
      <c r="B21" s="67">
        <v>6</v>
      </c>
      <c r="C21" s="39">
        <v>0.33333333333333331</v>
      </c>
      <c r="D21" s="39">
        <v>0.33333333333333331</v>
      </c>
      <c r="E21" s="39">
        <v>0</v>
      </c>
      <c r="F21"/>
    </row>
    <row r="22" spans="1:6" x14ac:dyDescent="0.25">
      <c r="A22" s="22" t="s">
        <v>163</v>
      </c>
      <c r="B22" s="67">
        <v>6</v>
      </c>
      <c r="C22" s="39">
        <v>0.16666666666666666</v>
      </c>
      <c r="D22" s="39">
        <v>0.16666666666666666</v>
      </c>
      <c r="E22" s="39">
        <v>0</v>
      </c>
      <c r="F22"/>
    </row>
    <row r="23" spans="1:6" x14ac:dyDescent="0.25">
      <c r="A23" s="22" t="s">
        <v>153</v>
      </c>
      <c r="B23" s="67">
        <v>6</v>
      </c>
      <c r="C23" s="39">
        <v>0.16666666666666666</v>
      </c>
      <c r="D23" s="39">
        <v>0</v>
      </c>
      <c r="E23" s="39">
        <v>0.16666666666666666</v>
      </c>
      <c r="F23"/>
    </row>
    <row r="24" spans="1:6" x14ac:dyDescent="0.25">
      <c r="A24" s="22" t="s">
        <v>145</v>
      </c>
      <c r="B24" s="67">
        <v>6</v>
      </c>
      <c r="C24" s="39">
        <v>0</v>
      </c>
      <c r="D24" s="39">
        <v>0.33333333333333331</v>
      </c>
      <c r="E24" s="39">
        <v>0</v>
      </c>
      <c r="F24"/>
    </row>
    <row r="25" spans="1:6" x14ac:dyDescent="0.25">
      <c r="A25" s="22" t="s">
        <v>149</v>
      </c>
      <c r="B25" s="67">
        <v>6</v>
      </c>
      <c r="C25" s="39">
        <v>0</v>
      </c>
      <c r="D25" s="39">
        <v>0</v>
      </c>
      <c r="E25" s="39">
        <v>0</v>
      </c>
      <c r="F25"/>
    </row>
    <row r="26" spans="1:6" x14ac:dyDescent="0.25">
      <c r="A26" s="22" t="s">
        <v>173</v>
      </c>
      <c r="B26" s="67">
        <v>6</v>
      </c>
      <c r="C26" s="39">
        <v>0.16666666666666666</v>
      </c>
      <c r="D26" s="39">
        <v>0.16666666666666666</v>
      </c>
      <c r="E26" s="39">
        <v>0</v>
      </c>
      <c r="F26"/>
    </row>
    <row r="27" spans="1:6" x14ac:dyDescent="0.25">
      <c r="A27" s="22" t="s">
        <v>161</v>
      </c>
      <c r="B27" s="67">
        <v>6</v>
      </c>
      <c r="C27" s="39">
        <v>0</v>
      </c>
      <c r="D27" s="39">
        <v>0</v>
      </c>
      <c r="E27" s="39">
        <v>0</v>
      </c>
      <c r="F27"/>
    </row>
    <row r="28" spans="1:6" x14ac:dyDescent="0.25">
      <c r="A28" s="22" t="s">
        <v>159</v>
      </c>
      <c r="B28" s="67">
        <v>6</v>
      </c>
      <c r="C28" s="39">
        <v>0.16666666666666666</v>
      </c>
      <c r="D28" s="39">
        <v>0</v>
      </c>
      <c r="E28" s="39">
        <v>0.16666666666666666</v>
      </c>
      <c r="F28"/>
    </row>
    <row r="29" spans="1:6" x14ac:dyDescent="0.25">
      <c r="A29" s="22" t="s">
        <v>168</v>
      </c>
      <c r="B29" s="67">
        <v>6</v>
      </c>
      <c r="C29" s="39">
        <v>0</v>
      </c>
      <c r="D29" s="39">
        <v>0</v>
      </c>
      <c r="E29" s="39">
        <v>0</v>
      </c>
      <c r="F29"/>
    </row>
    <row r="30" spans="1:6" x14ac:dyDescent="0.25">
      <c r="A30" s="22" t="s">
        <v>174</v>
      </c>
      <c r="B30" s="67">
        <v>6</v>
      </c>
      <c r="C30" s="39">
        <v>0</v>
      </c>
      <c r="D30" s="39">
        <v>0</v>
      </c>
      <c r="E30" s="39">
        <v>0</v>
      </c>
      <c r="F30"/>
    </row>
    <row r="31" spans="1:6" x14ac:dyDescent="0.25">
      <c r="A31" s="22" t="s">
        <v>148</v>
      </c>
      <c r="B31" s="67">
        <v>6</v>
      </c>
      <c r="C31" s="39">
        <v>0</v>
      </c>
      <c r="D31" s="39">
        <v>0.16666666666666666</v>
      </c>
      <c r="E31" s="39">
        <v>0</v>
      </c>
      <c r="F31"/>
    </row>
    <row r="32" spans="1:6" x14ac:dyDescent="0.25">
      <c r="A32" s="22" t="s">
        <v>146</v>
      </c>
      <c r="B32" s="67">
        <v>4</v>
      </c>
      <c r="C32" s="39">
        <v>0</v>
      </c>
      <c r="D32" s="39">
        <v>0</v>
      </c>
      <c r="E32" s="39">
        <v>0</v>
      </c>
      <c r="F32"/>
    </row>
    <row r="33" spans="1:6" x14ac:dyDescent="0.25">
      <c r="A33" s="22" t="s">
        <v>154</v>
      </c>
      <c r="B33" s="67">
        <v>6</v>
      </c>
      <c r="C33" s="39">
        <v>0.16666666666666666</v>
      </c>
      <c r="D33" s="39">
        <v>0</v>
      </c>
      <c r="E33" s="39">
        <v>0.16666666666666666</v>
      </c>
      <c r="F33"/>
    </row>
    <row r="34" spans="1:6" x14ac:dyDescent="0.25">
      <c r="A34" s="22" t="s">
        <v>205</v>
      </c>
      <c r="B34" s="67">
        <v>1</v>
      </c>
      <c r="C34" s="39">
        <v>0</v>
      </c>
      <c r="D34" s="39">
        <v>1</v>
      </c>
      <c r="E34" s="39">
        <v>0</v>
      </c>
      <c r="F34"/>
    </row>
    <row r="35" spans="1:6" x14ac:dyDescent="0.25">
      <c r="A35" s="22" t="s">
        <v>265</v>
      </c>
      <c r="B35" s="67"/>
      <c r="C35" s="39">
        <v>1</v>
      </c>
      <c r="D35" s="39">
        <v>1</v>
      </c>
      <c r="E35" s="39">
        <v>1</v>
      </c>
      <c r="F35"/>
    </row>
    <row r="36" spans="1:6" x14ac:dyDescent="0.25">
      <c r="A36"/>
      <c r="B36"/>
      <c r="C36"/>
      <c r="D36"/>
      <c r="E36"/>
      <c r="F36"/>
    </row>
    <row r="37" spans="1:6" x14ac:dyDescent="0.25">
      <c r="A37"/>
      <c r="B37"/>
      <c r="C37"/>
      <c r="D37"/>
      <c r="E37"/>
      <c r="F37"/>
    </row>
    <row r="38" spans="1:6" x14ac:dyDescent="0.25">
      <c r="A38"/>
      <c r="B38"/>
      <c r="C38"/>
      <c r="D38"/>
      <c r="E38"/>
      <c r="F38"/>
    </row>
    <row r="39" spans="1:6" x14ac:dyDescent="0.25">
      <c r="A39"/>
      <c r="B39"/>
      <c r="C39"/>
      <c r="D39"/>
      <c r="E39"/>
      <c r="F39"/>
    </row>
    <row r="40" spans="1:6" x14ac:dyDescent="0.25">
      <c r="A40"/>
      <c r="B40"/>
      <c r="C40"/>
      <c r="D40"/>
      <c r="E40"/>
      <c r="F40"/>
    </row>
    <row r="41" spans="1:6" x14ac:dyDescent="0.25">
      <c r="A41"/>
      <c r="B41"/>
      <c r="C41"/>
      <c r="D41"/>
      <c r="E41"/>
      <c r="F41"/>
    </row>
    <row r="42" spans="1:6" x14ac:dyDescent="0.25">
      <c r="A42"/>
      <c r="B42"/>
      <c r="C42"/>
      <c r="D42"/>
      <c r="E42"/>
      <c r="F42"/>
    </row>
    <row r="43" spans="1:6" x14ac:dyDescent="0.25">
      <c r="A43"/>
      <c r="B43"/>
      <c r="C43"/>
      <c r="D43"/>
      <c r="E43"/>
      <c r="F43"/>
    </row>
    <row r="44" spans="1:6" x14ac:dyDescent="0.25">
      <c r="A44"/>
      <c r="B44"/>
      <c r="C44"/>
      <c r="D44"/>
      <c r="E44"/>
      <c r="F44"/>
    </row>
    <row r="45" spans="1:6" x14ac:dyDescent="0.25">
      <c r="A45"/>
      <c r="B45"/>
      <c r="C45"/>
      <c r="D45"/>
      <c r="E45"/>
      <c r="F45"/>
    </row>
    <row r="46" spans="1:6" x14ac:dyDescent="0.25">
      <c r="A46"/>
      <c r="B46"/>
      <c r="C46"/>
      <c r="D46"/>
      <c r="E46"/>
      <c r="F46"/>
    </row>
    <row r="47" spans="1:6" x14ac:dyDescent="0.25">
      <c r="A47"/>
      <c r="B47"/>
      <c r="C47"/>
      <c r="D47"/>
      <c r="E47"/>
      <c r="F47"/>
    </row>
    <row r="48" spans="1:6" x14ac:dyDescent="0.25">
      <c r="A48"/>
      <c r="B48"/>
      <c r="C48"/>
      <c r="D48"/>
      <c r="E48"/>
      <c r="F48"/>
    </row>
    <row r="49" spans="1:6" x14ac:dyDescent="0.25">
      <c r="A49"/>
      <c r="B49"/>
      <c r="C49"/>
      <c r="D49"/>
      <c r="E49"/>
      <c r="F49"/>
    </row>
    <row r="50" spans="1:6" x14ac:dyDescent="0.25">
      <c r="A50"/>
      <c r="B50"/>
      <c r="C50"/>
      <c r="D50"/>
      <c r="E50"/>
      <c r="F50"/>
    </row>
    <row r="51" spans="1:6" x14ac:dyDescent="0.25">
      <c r="A51"/>
      <c r="B51"/>
      <c r="C51"/>
      <c r="D51"/>
      <c r="E51"/>
      <c r="F51"/>
    </row>
    <row r="52" spans="1:6" x14ac:dyDescent="0.25">
      <c r="A52"/>
      <c r="B52"/>
      <c r="C52"/>
      <c r="D52"/>
      <c r="E52"/>
      <c r="F52"/>
    </row>
    <row r="53" spans="1:6" x14ac:dyDescent="0.25">
      <c r="A53"/>
      <c r="B53"/>
      <c r="C53"/>
      <c r="D53"/>
      <c r="E53"/>
      <c r="F53"/>
    </row>
    <row r="54" spans="1:6" x14ac:dyDescent="0.25">
      <c r="A54"/>
      <c r="B54"/>
      <c r="C54"/>
      <c r="D54"/>
      <c r="E54"/>
      <c r="F54"/>
    </row>
    <row r="55" spans="1:6" x14ac:dyDescent="0.25">
      <c r="A55"/>
      <c r="B55"/>
      <c r="C55"/>
      <c r="D55"/>
      <c r="E55"/>
      <c r="F55"/>
    </row>
    <row r="56" spans="1:6" x14ac:dyDescent="0.25">
      <c r="A56"/>
      <c r="B56"/>
      <c r="C56"/>
      <c r="D56"/>
      <c r="E56"/>
      <c r="F56"/>
    </row>
    <row r="57" spans="1:6" x14ac:dyDescent="0.25">
      <c r="A57"/>
      <c r="B57"/>
      <c r="C57"/>
      <c r="D57"/>
      <c r="E57"/>
      <c r="F57"/>
    </row>
    <row r="58" spans="1:6" x14ac:dyDescent="0.25">
      <c r="A58"/>
      <c r="B58"/>
      <c r="C58"/>
      <c r="D58"/>
      <c r="E58"/>
      <c r="F58"/>
    </row>
    <row r="59" spans="1:6" x14ac:dyDescent="0.25">
      <c r="A59"/>
      <c r="B59"/>
      <c r="C59"/>
      <c r="D59"/>
      <c r="E59"/>
      <c r="F59"/>
    </row>
    <row r="60" spans="1:6" x14ac:dyDescent="0.25">
      <c r="A60"/>
      <c r="B60"/>
      <c r="C60"/>
      <c r="D60"/>
      <c r="E60"/>
      <c r="F60"/>
    </row>
    <row r="61" spans="1:6" x14ac:dyDescent="0.25">
      <c r="A61"/>
      <c r="B61"/>
      <c r="C61"/>
      <c r="D61"/>
      <c r="E61"/>
      <c r="F61"/>
    </row>
    <row r="62" spans="1:6" x14ac:dyDescent="0.25">
      <c r="A62"/>
      <c r="B62"/>
      <c r="C62"/>
      <c r="D62"/>
      <c r="E62"/>
      <c r="F62"/>
    </row>
    <row r="63" spans="1:6" x14ac:dyDescent="0.25">
      <c r="A63"/>
      <c r="B63"/>
      <c r="C63"/>
      <c r="D63"/>
      <c r="E63"/>
      <c r="F63"/>
    </row>
    <row r="64" spans="1:6" x14ac:dyDescent="0.25">
      <c r="A64"/>
      <c r="B64"/>
      <c r="C64"/>
      <c r="D64"/>
      <c r="E64"/>
      <c r="F64"/>
    </row>
    <row r="65" spans="1:6" x14ac:dyDescent="0.25">
      <c r="A65"/>
      <c r="B65"/>
      <c r="C65"/>
      <c r="D65"/>
      <c r="E65"/>
      <c r="F65"/>
    </row>
    <row r="66" spans="1:6" x14ac:dyDescent="0.25">
      <c r="A66"/>
      <c r="B66"/>
      <c r="C66"/>
      <c r="D66"/>
      <c r="E66"/>
      <c r="F66"/>
    </row>
    <row r="67" spans="1:6" x14ac:dyDescent="0.25">
      <c r="A67"/>
      <c r="B67"/>
      <c r="C67"/>
      <c r="D67"/>
      <c r="E67"/>
      <c r="F67"/>
    </row>
    <row r="68" spans="1:6" x14ac:dyDescent="0.25">
      <c r="A68"/>
      <c r="B68"/>
      <c r="C68"/>
      <c r="D68"/>
      <c r="E68"/>
      <c r="F68"/>
    </row>
    <row r="69" spans="1:6" x14ac:dyDescent="0.25">
      <c r="A69"/>
      <c r="B69"/>
      <c r="C69"/>
      <c r="D69"/>
      <c r="E69"/>
      <c r="F69"/>
    </row>
    <row r="70" spans="1:6" x14ac:dyDescent="0.25">
      <c r="A70"/>
      <c r="B70"/>
      <c r="C70"/>
      <c r="D70"/>
      <c r="E70"/>
      <c r="F70"/>
    </row>
    <row r="71" spans="1:6" x14ac:dyDescent="0.25">
      <c r="A71"/>
      <c r="B71"/>
      <c r="C71"/>
      <c r="D71"/>
      <c r="E71"/>
      <c r="F71"/>
    </row>
    <row r="72" spans="1:6" x14ac:dyDescent="0.25">
      <c r="A72"/>
      <c r="B72"/>
      <c r="C72"/>
      <c r="D72"/>
      <c r="E72"/>
      <c r="F72"/>
    </row>
    <row r="73" spans="1:6" x14ac:dyDescent="0.25">
      <c r="A73"/>
      <c r="B73"/>
      <c r="C73"/>
      <c r="D73"/>
      <c r="E73"/>
      <c r="F73"/>
    </row>
    <row r="74" spans="1:6" x14ac:dyDescent="0.25">
      <c r="A74"/>
      <c r="B74"/>
      <c r="C74"/>
      <c r="D74"/>
      <c r="E74"/>
      <c r="F74"/>
    </row>
    <row r="75" spans="1:6" x14ac:dyDescent="0.25">
      <c r="A75"/>
      <c r="B75"/>
      <c r="C75"/>
      <c r="D75"/>
      <c r="E75"/>
      <c r="F75"/>
    </row>
    <row r="76" spans="1:6" x14ac:dyDescent="0.25">
      <c r="A76"/>
      <c r="B76"/>
      <c r="C76"/>
      <c r="D76"/>
      <c r="E76"/>
      <c r="F76"/>
    </row>
    <row r="77" spans="1:6" x14ac:dyDescent="0.25">
      <c r="A77"/>
      <c r="B77"/>
      <c r="C77"/>
      <c r="D77"/>
      <c r="E77"/>
      <c r="F77"/>
    </row>
    <row r="78" spans="1:6" x14ac:dyDescent="0.25">
      <c r="A78"/>
      <c r="B78"/>
      <c r="C78"/>
      <c r="D78"/>
      <c r="E78"/>
      <c r="F78"/>
    </row>
    <row r="79" spans="1:6" x14ac:dyDescent="0.25">
      <c r="A79"/>
      <c r="B79"/>
      <c r="C79"/>
      <c r="D79"/>
      <c r="E79"/>
      <c r="F79"/>
    </row>
    <row r="80" spans="1:6" x14ac:dyDescent="0.25">
      <c r="A80"/>
      <c r="B80"/>
      <c r="C80"/>
      <c r="D80"/>
      <c r="E80"/>
      <c r="F80"/>
    </row>
    <row r="81" spans="1:6" x14ac:dyDescent="0.25">
      <c r="A81"/>
      <c r="B81"/>
      <c r="C81"/>
      <c r="D81"/>
      <c r="E81"/>
      <c r="F81"/>
    </row>
    <row r="82" spans="1:6" x14ac:dyDescent="0.25">
      <c r="A82"/>
      <c r="B82"/>
      <c r="C82"/>
      <c r="D82"/>
      <c r="E82"/>
      <c r="F82"/>
    </row>
    <row r="83" spans="1:6" x14ac:dyDescent="0.25">
      <c r="A83"/>
      <c r="B83"/>
      <c r="C83"/>
      <c r="D83"/>
      <c r="E83"/>
      <c r="F83"/>
    </row>
    <row r="84" spans="1:6" x14ac:dyDescent="0.25">
      <c r="A84"/>
      <c r="B84"/>
      <c r="C84"/>
      <c r="D84"/>
      <c r="E84"/>
      <c r="F84"/>
    </row>
    <row r="85" spans="1:6" x14ac:dyDescent="0.25">
      <c r="A85"/>
      <c r="B85"/>
      <c r="C85"/>
      <c r="D85"/>
      <c r="E85"/>
      <c r="F85"/>
    </row>
    <row r="86" spans="1:6" x14ac:dyDescent="0.25">
      <c r="A86"/>
      <c r="B86"/>
      <c r="C86"/>
      <c r="D86"/>
      <c r="E86"/>
      <c r="F86"/>
    </row>
    <row r="87" spans="1:6" x14ac:dyDescent="0.25">
      <c r="A87"/>
      <c r="B87"/>
      <c r="C87"/>
      <c r="D87"/>
      <c r="E87"/>
      <c r="F87"/>
    </row>
    <row r="88" spans="1:6" x14ac:dyDescent="0.25">
      <c r="A88" s="59"/>
      <c r="B88" s="59"/>
    </row>
    <row r="89" spans="1:6" x14ac:dyDescent="0.25">
      <c r="A89" s="59"/>
      <c r="B89" s="59"/>
    </row>
    <row r="90" spans="1:6" x14ac:dyDescent="0.25">
      <c r="A90" s="59"/>
      <c r="B90" s="59"/>
    </row>
    <row r="91" spans="1:6" x14ac:dyDescent="0.25">
      <c r="A91" s="59"/>
      <c r="B91" s="59"/>
    </row>
    <row r="92" spans="1:6" x14ac:dyDescent="0.25">
      <c r="A92" s="59"/>
      <c r="B92" s="59"/>
    </row>
    <row r="93" spans="1:6" x14ac:dyDescent="0.25">
      <c r="A93" s="59"/>
      <c r="B93" s="59"/>
    </row>
    <row r="94" spans="1:6" x14ac:dyDescent="0.25">
      <c r="A94" s="59"/>
      <c r="B94" s="59"/>
    </row>
    <row r="95" spans="1:6" x14ac:dyDescent="0.25">
      <c r="A95" s="59"/>
      <c r="B95" s="59"/>
    </row>
    <row r="96" spans="1:6" x14ac:dyDescent="0.25">
      <c r="A96" s="59"/>
      <c r="B96" s="59"/>
    </row>
    <row r="97" s="59" customFormat="1" x14ac:dyDescent="0.25"/>
    <row r="98" s="59" customFormat="1" x14ac:dyDescent="0.25"/>
    <row r="99" s="59" customFormat="1" x14ac:dyDescent="0.25"/>
    <row r="100" s="59" customFormat="1" x14ac:dyDescent="0.25"/>
    <row r="101" s="59" customFormat="1" x14ac:dyDescent="0.25"/>
    <row r="102" s="59" customFormat="1" x14ac:dyDescent="0.25"/>
    <row r="103" s="59" customFormat="1" x14ac:dyDescent="0.25"/>
    <row r="104" s="59" customFormat="1" x14ac:dyDescent="0.25"/>
    <row r="105" s="59" customFormat="1" x14ac:dyDescent="0.25"/>
    <row r="106" s="59" customFormat="1" x14ac:dyDescent="0.25"/>
    <row r="107" s="59" customFormat="1" x14ac:dyDescent="0.25"/>
    <row r="108" s="59" customFormat="1" x14ac:dyDescent="0.25"/>
    <row r="109" s="59" customFormat="1" x14ac:dyDescent="0.25"/>
    <row r="110" s="59" customFormat="1" x14ac:dyDescent="0.25"/>
    <row r="111" s="59" customFormat="1" x14ac:dyDescent="0.25"/>
    <row r="112" s="59" customFormat="1" x14ac:dyDescent="0.25"/>
    <row r="113" s="59" customFormat="1" x14ac:dyDescent="0.25"/>
    <row r="114" s="59" customFormat="1" x14ac:dyDescent="0.25"/>
    <row r="115" s="59" customFormat="1" x14ac:dyDescent="0.25"/>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E62C1F-66CD-48BF-A7DF-0D832879EBF6}">
  <sheetPr codeName="Sheet8"/>
  <dimension ref="A1:F115"/>
  <sheetViews>
    <sheetView showGridLines="0" topLeftCell="A6" workbookViewId="0">
      <selection activeCell="D10" sqref="D10"/>
    </sheetView>
  </sheetViews>
  <sheetFormatPr defaultRowHeight="15" x14ac:dyDescent="0.25"/>
  <cols>
    <col min="1" max="1" width="28.28515625" style="22" bestFit="1" customWidth="1"/>
    <col min="2" max="2" width="19.140625" style="22" bestFit="1" customWidth="1"/>
    <col min="3" max="3" width="12.42578125" bestFit="1" customWidth="1"/>
    <col min="4" max="4" width="17.7109375" bestFit="1" customWidth="1"/>
    <col min="5" max="5" width="17.5703125" bestFit="1" customWidth="1"/>
    <col min="6" max="6" width="18.5703125" bestFit="1" customWidth="1"/>
    <col min="7" max="8" width="21.42578125" bestFit="1" customWidth="1"/>
  </cols>
  <sheetData>
    <row r="1" spans="1:6" hidden="1" x14ac:dyDescent="0.25">
      <c r="A1" s="64" t="s">
        <v>137</v>
      </c>
      <c r="B1" s="22" t="s">
        <v>184</v>
      </c>
    </row>
    <row r="2" spans="1:6" hidden="1" x14ac:dyDescent="0.25">
      <c r="A2" s="64" t="s">
        <v>132</v>
      </c>
      <c r="B2" s="22" t="s">
        <v>184</v>
      </c>
    </row>
    <row r="3" spans="1:6" hidden="1" x14ac:dyDescent="0.25">
      <c r="A3" s="64" t="s">
        <v>133</v>
      </c>
      <c r="B3" s="22" t="s">
        <v>184</v>
      </c>
    </row>
    <row r="4" spans="1:6" hidden="1" x14ac:dyDescent="0.25">
      <c r="A4" s="64" t="s">
        <v>135</v>
      </c>
      <c r="B4" s="22" t="s">
        <v>184</v>
      </c>
    </row>
    <row r="5" spans="1:6" hidden="1" x14ac:dyDescent="0.25"/>
    <row r="6" spans="1:6" x14ac:dyDescent="0.25">
      <c r="A6" s="64" t="s">
        <v>134</v>
      </c>
      <c r="B6" s="64" t="s">
        <v>214</v>
      </c>
      <c r="C6" s="22" t="s">
        <v>211</v>
      </c>
      <c r="D6" s="22" t="s">
        <v>209</v>
      </c>
      <c r="E6" s="22" t="s">
        <v>210</v>
      </c>
      <c r="F6" s="22" t="s">
        <v>212</v>
      </c>
    </row>
    <row r="7" spans="1:6" x14ac:dyDescent="0.25">
      <c r="A7" s="22" t="s">
        <v>150</v>
      </c>
      <c r="C7" s="67">
        <v>6</v>
      </c>
      <c r="D7" s="39">
        <v>0</v>
      </c>
      <c r="E7" s="39">
        <v>0</v>
      </c>
      <c r="F7" s="39">
        <v>0</v>
      </c>
    </row>
    <row r="8" spans="1:6" x14ac:dyDescent="0.25">
      <c r="A8" s="22" t="s">
        <v>215</v>
      </c>
      <c r="C8" s="67">
        <v>6</v>
      </c>
      <c r="D8" s="39">
        <v>0</v>
      </c>
      <c r="E8" s="39">
        <v>0</v>
      </c>
      <c r="F8" s="39">
        <v>0</v>
      </c>
    </row>
    <row r="9" spans="1:6" x14ac:dyDescent="0.25">
      <c r="A9" s="22" t="s">
        <v>156</v>
      </c>
      <c r="B9" s="22">
        <v>881059</v>
      </c>
      <c r="C9" s="67">
        <v>1</v>
      </c>
      <c r="D9" s="39">
        <v>1</v>
      </c>
      <c r="E9" s="39">
        <v>0</v>
      </c>
      <c r="F9" s="39">
        <v>1</v>
      </c>
    </row>
    <row r="10" spans="1:6" x14ac:dyDescent="0.25">
      <c r="C10" s="67">
        <v>5</v>
      </c>
      <c r="D10" s="39">
        <v>0</v>
      </c>
      <c r="E10" s="39">
        <v>0</v>
      </c>
      <c r="F10" s="39">
        <v>0</v>
      </c>
    </row>
    <row r="11" spans="1:6" x14ac:dyDescent="0.25">
      <c r="A11" s="22" t="s">
        <v>216</v>
      </c>
      <c r="C11" s="67">
        <v>6</v>
      </c>
      <c r="D11" s="39">
        <v>0.16666666666666666</v>
      </c>
      <c r="E11" s="39">
        <v>0</v>
      </c>
      <c r="F11" s="39">
        <v>0.16666666666666666</v>
      </c>
    </row>
    <row r="12" spans="1:6" x14ac:dyDescent="0.25">
      <c r="A12" s="22" t="s">
        <v>155</v>
      </c>
      <c r="C12" s="67">
        <v>6</v>
      </c>
      <c r="D12" s="39">
        <v>0</v>
      </c>
      <c r="E12" s="39">
        <v>0</v>
      </c>
      <c r="F12" s="39">
        <v>0</v>
      </c>
    </row>
    <row r="13" spans="1:6" x14ac:dyDescent="0.25">
      <c r="A13" s="22" t="s">
        <v>217</v>
      </c>
      <c r="C13" s="67">
        <v>6</v>
      </c>
      <c r="D13" s="39">
        <v>0</v>
      </c>
      <c r="E13" s="39">
        <v>0</v>
      </c>
      <c r="F13" s="39">
        <v>0</v>
      </c>
    </row>
    <row r="14" spans="1:6" x14ac:dyDescent="0.25">
      <c r="A14" s="22" t="s">
        <v>170</v>
      </c>
      <c r="B14" s="22">
        <v>865520</v>
      </c>
      <c r="C14" s="67">
        <v>1</v>
      </c>
      <c r="D14" s="39">
        <v>1</v>
      </c>
      <c r="E14" s="39">
        <v>1</v>
      </c>
      <c r="F14" s="39">
        <v>1</v>
      </c>
    </row>
    <row r="15" spans="1:6" x14ac:dyDescent="0.25">
      <c r="B15" s="22">
        <v>878607</v>
      </c>
      <c r="C15" s="67">
        <v>1</v>
      </c>
      <c r="D15" s="39">
        <v>1</v>
      </c>
      <c r="E15" s="39">
        <v>1</v>
      </c>
      <c r="F15" s="39">
        <v>0</v>
      </c>
    </row>
    <row r="16" spans="1:6" x14ac:dyDescent="0.25">
      <c r="B16" s="22">
        <v>886738</v>
      </c>
      <c r="C16" s="67">
        <v>1</v>
      </c>
      <c r="D16" s="39">
        <v>1</v>
      </c>
      <c r="E16" s="39">
        <v>1</v>
      </c>
      <c r="F16" s="39">
        <v>0</v>
      </c>
    </row>
    <row r="17" spans="1:6" x14ac:dyDescent="0.25">
      <c r="C17" s="67">
        <v>3</v>
      </c>
      <c r="D17" s="39">
        <v>0</v>
      </c>
      <c r="E17" s="39">
        <v>0</v>
      </c>
      <c r="F17" s="39">
        <v>0</v>
      </c>
    </row>
    <row r="18" spans="1:6" x14ac:dyDescent="0.25">
      <c r="A18" s="22" t="s">
        <v>218</v>
      </c>
      <c r="C18" s="67">
        <v>6</v>
      </c>
      <c r="D18" s="39">
        <v>0.5</v>
      </c>
      <c r="E18" s="39">
        <v>0.5</v>
      </c>
      <c r="F18" s="39">
        <v>0.16666666666666666</v>
      </c>
    </row>
    <row r="19" spans="1:6" x14ac:dyDescent="0.25">
      <c r="A19" s="22" t="s">
        <v>164</v>
      </c>
      <c r="C19" s="67">
        <v>6</v>
      </c>
      <c r="D19" s="39">
        <v>0</v>
      </c>
      <c r="E19" s="39">
        <v>0</v>
      </c>
      <c r="F19" s="39">
        <v>0</v>
      </c>
    </row>
    <row r="20" spans="1:6" x14ac:dyDescent="0.25">
      <c r="A20" s="22" t="s">
        <v>219</v>
      </c>
      <c r="C20" s="67">
        <v>6</v>
      </c>
      <c r="D20" s="39">
        <v>0</v>
      </c>
      <c r="E20" s="39">
        <v>0</v>
      </c>
      <c r="F20" s="39">
        <v>0</v>
      </c>
    </row>
    <row r="21" spans="1:6" x14ac:dyDescent="0.25">
      <c r="A21" s="22" t="s">
        <v>167</v>
      </c>
      <c r="B21" s="22">
        <v>865474</v>
      </c>
      <c r="C21" s="67">
        <v>1</v>
      </c>
      <c r="D21" s="39">
        <v>1</v>
      </c>
      <c r="E21" s="39">
        <v>1</v>
      </c>
      <c r="F21" s="39">
        <v>0</v>
      </c>
    </row>
    <row r="22" spans="1:6" x14ac:dyDescent="0.25">
      <c r="B22" s="22">
        <v>878366</v>
      </c>
      <c r="C22" s="67">
        <v>1</v>
      </c>
      <c r="D22" s="39">
        <v>1</v>
      </c>
      <c r="E22" s="39">
        <v>1</v>
      </c>
      <c r="F22" s="39">
        <v>0</v>
      </c>
    </row>
    <row r="23" spans="1:6" x14ac:dyDescent="0.25">
      <c r="B23" s="22">
        <v>887807</v>
      </c>
      <c r="C23" s="67">
        <v>1</v>
      </c>
      <c r="D23" s="39">
        <v>1</v>
      </c>
      <c r="E23" s="39">
        <v>0</v>
      </c>
      <c r="F23" s="39">
        <v>1</v>
      </c>
    </row>
    <row r="24" spans="1:6" x14ac:dyDescent="0.25">
      <c r="C24" s="67">
        <v>3</v>
      </c>
      <c r="D24" s="39">
        <v>0</v>
      </c>
      <c r="E24" s="39">
        <v>0</v>
      </c>
      <c r="F24" s="39">
        <v>0</v>
      </c>
    </row>
    <row r="25" spans="1:6" x14ac:dyDescent="0.25">
      <c r="A25" s="22" t="s">
        <v>220</v>
      </c>
      <c r="C25" s="67">
        <v>6</v>
      </c>
      <c r="D25" s="39">
        <v>0.5</v>
      </c>
      <c r="E25" s="39">
        <v>0.33333333333333331</v>
      </c>
      <c r="F25" s="39">
        <v>0.16666666666666666</v>
      </c>
    </row>
    <row r="26" spans="1:6" x14ac:dyDescent="0.25">
      <c r="A26" s="22" t="s">
        <v>169</v>
      </c>
      <c r="B26" s="22">
        <v>867762</v>
      </c>
      <c r="C26" s="67">
        <v>1</v>
      </c>
      <c r="D26" s="39">
        <v>1</v>
      </c>
      <c r="E26" s="39">
        <v>1</v>
      </c>
      <c r="F26" s="39">
        <v>0</v>
      </c>
    </row>
    <row r="27" spans="1:6" x14ac:dyDescent="0.25">
      <c r="B27" s="22">
        <v>878541</v>
      </c>
      <c r="C27" s="67">
        <v>1</v>
      </c>
      <c r="D27" s="39">
        <v>1</v>
      </c>
      <c r="E27" s="39">
        <v>1</v>
      </c>
      <c r="F27" s="39">
        <v>0</v>
      </c>
    </row>
    <row r="28" spans="1:6" x14ac:dyDescent="0.25">
      <c r="B28" s="22">
        <v>886397</v>
      </c>
      <c r="C28" s="67">
        <v>1</v>
      </c>
      <c r="D28" s="39">
        <v>1</v>
      </c>
      <c r="E28" s="39">
        <v>0</v>
      </c>
      <c r="F28" s="39">
        <v>1</v>
      </c>
    </row>
    <row r="29" spans="1:6" x14ac:dyDescent="0.25">
      <c r="C29" s="67">
        <v>3</v>
      </c>
      <c r="D29" s="39">
        <v>0</v>
      </c>
      <c r="E29" s="39">
        <v>0</v>
      </c>
      <c r="F29" s="39">
        <v>0</v>
      </c>
    </row>
    <row r="30" spans="1:6" x14ac:dyDescent="0.25">
      <c r="A30" s="22" t="s">
        <v>221</v>
      </c>
      <c r="C30" s="67">
        <v>6</v>
      </c>
      <c r="D30" s="39">
        <v>0.5</v>
      </c>
      <c r="E30" s="39">
        <v>0.33333333333333331</v>
      </c>
      <c r="F30" s="39">
        <v>0.16666666666666666</v>
      </c>
    </row>
    <row r="31" spans="1:6" x14ac:dyDescent="0.25">
      <c r="A31" s="22" t="s">
        <v>166</v>
      </c>
      <c r="C31" s="67">
        <v>6</v>
      </c>
      <c r="D31" s="39">
        <v>0</v>
      </c>
      <c r="E31" s="39">
        <v>0.16666666666666666</v>
      </c>
      <c r="F31" s="39">
        <v>0</v>
      </c>
    </row>
    <row r="32" spans="1:6" x14ac:dyDescent="0.25">
      <c r="A32" s="22" t="s">
        <v>222</v>
      </c>
      <c r="C32" s="67">
        <v>6</v>
      </c>
      <c r="D32" s="39">
        <v>0</v>
      </c>
      <c r="E32" s="39">
        <v>0.16666666666666666</v>
      </c>
      <c r="F32" s="39">
        <v>0</v>
      </c>
    </row>
    <row r="33" spans="1:6" x14ac:dyDescent="0.25">
      <c r="A33" s="22" t="s">
        <v>171</v>
      </c>
      <c r="B33" s="22">
        <v>863621</v>
      </c>
      <c r="C33" s="67">
        <v>1</v>
      </c>
      <c r="D33" s="39">
        <v>1</v>
      </c>
      <c r="E33" s="39">
        <v>1</v>
      </c>
      <c r="F33" s="39">
        <v>1</v>
      </c>
    </row>
    <row r="34" spans="1:6" x14ac:dyDescent="0.25">
      <c r="B34" s="22">
        <v>874632</v>
      </c>
      <c r="C34" s="67">
        <v>1</v>
      </c>
      <c r="D34" s="39">
        <v>1</v>
      </c>
      <c r="E34" s="39">
        <v>1</v>
      </c>
      <c r="F34" s="39">
        <v>0</v>
      </c>
    </row>
    <row r="35" spans="1:6" x14ac:dyDescent="0.25">
      <c r="B35" s="22">
        <v>886390</v>
      </c>
      <c r="C35" s="67">
        <v>1</v>
      </c>
      <c r="D35" s="39">
        <v>1</v>
      </c>
      <c r="E35" s="39">
        <v>1</v>
      </c>
      <c r="F35" s="39">
        <v>0</v>
      </c>
    </row>
    <row r="36" spans="1:6" x14ac:dyDescent="0.25">
      <c r="C36" s="67">
        <v>3</v>
      </c>
      <c r="D36" s="39">
        <v>0</v>
      </c>
      <c r="E36" s="39">
        <v>0</v>
      </c>
      <c r="F36" s="39">
        <v>0</v>
      </c>
    </row>
    <row r="37" spans="1:6" x14ac:dyDescent="0.25">
      <c r="A37" s="22" t="s">
        <v>223</v>
      </c>
      <c r="C37" s="67">
        <v>6</v>
      </c>
      <c r="D37" s="39">
        <v>0.5</v>
      </c>
      <c r="E37" s="39">
        <v>0.5</v>
      </c>
      <c r="F37" s="39">
        <v>0.16666666666666666</v>
      </c>
    </row>
    <row r="38" spans="1:6" x14ac:dyDescent="0.25">
      <c r="A38" s="22" t="s">
        <v>147</v>
      </c>
      <c r="B38" s="22">
        <v>884235</v>
      </c>
      <c r="C38" s="67">
        <v>1</v>
      </c>
      <c r="D38" s="39">
        <v>1</v>
      </c>
      <c r="E38" s="39">
        <v>1</v>
      </c>
      <c r="F38" s="39">
        <v>1</v>
      </c>
    </row>
    <row r="39" spans="1:6" x14ac:dyDescent="0.25">
      <c r="B39" s="22">
        <v>884348</v>
      </c>
      <c r="C39" s="67">
        <v>1</v>
      </c>
      <c r="D39" s="39">
        <v>1</v>
      </c>
      <c r="E39" s="39">
        <v>1</v>
      </c>
      <c r="F39" s="39">
        <v>1</v>
      </c>
    </row>
    <row r="40" spans="1:6" x14ac:dyDescent="0.25">
      <c r="C40" s="67">
        <v>4</v>
      </c>
      <c r="D40" s="39">
        <v>0</v>
      </c>
      <c r="E40" s="39">
        <v>0</v>
      </c>
      <c r="F40" s="39">
        <v>0</v>
      </c>
    </row>
    <row r="41" spans="1:6" x14ac:dyDescent="0.25">
      <c r="A41" s="22" t="s">
        <v>224</v>
      </c>
      <c r="C41" s="67">
        <v>6</v>
      </c>
      <c r="D41" s="39">
        <v>0.33333333333333331</v>
      </c>
      <c r="E41" s="39">
        <v>0.33333333333333331</v>
      </c>
      <c r="F41" s="39">
        <v>0.33333333333333331</v>
      </c>
    </row>
    <row r="42" spans="1:6" x14ac:dyDescent="0.25">
      <c r="A42" s="22" t="s">
        <v>160</v>
      </c>
      <c r="C42" s="67">
        <v>6</v>
      </c>
      <c r="D42" s="39">
        <v>0</v>
      </c>
      <c r="E42" s="39">
        <v>0</v>
      </c>
      <c r="F42" s="39">
        <v>0</v>
      </c>
    </row>
    <row r="43" spans="1:6" x14ac:dyDescent="0.25">
      <c r="A43" s="22" t="s">
        <v>225</v>
      </c>
      <c r="C43" s="67">
        <v>6</v>
      </c>
      <c r="D43" s="39">
        <v>0</v>
      </c>
      <c r="E43" s="39">
        <v>0</v>
      </c>
      <c r="F43" s="39">
        <v>0</v>
      </c>
    </row>
    <row r="44" spans="1:6" x14ac:dyDescent="0.25">
      <c r="A44" s="22" t="s">
        <v>158</v>
      </c>
      <c r="C44" s="67">
        <v>6</v>
      </c>
      <c r="D44" s="39">
        <v>0</v>
      </c>
      <c r="E44" s="39">
        <v>0.16666666666666666</v>
      </c>
      <c r="F44" s="39">
        <v>0</v>
      </c>
    </row>
    <row r="45" spans="1:6" x14ac:dyDescent="0.25">
      <c r="A45" s="22" t="s">
        <v>226</v>
      </c>
      <c r="C45" s="67">
        <v>6</v>
      </c>
      <c r="D45" s="39">
        <v>0</v>
      </c>
      <c r="E45" s="39">
        <v>0.16666666666666666</v>
      </c>
      <c r="F45" s="39">
        <v>0</v>
      </c>
    </row>
    <row r="46" spans="1:6" x14ac:dyDescent="0.25">
      <c r="A46" s="22" t="s">
        <v>165</v>
      </c>
      <c r="B46" s="22">
        <v>879979</v>
      </c>
      <c r="C46" s="67">
        <v>1</v>
      </c>
      <c r="D46" s="39">
        <v>1</v>
      </c>
      <c r="E46" s="39">
        <v>1</v>
      </c>
      <c r="F46" s="39">
        <v>1</v>
      </c>
    </row>
    <row r="47" spans="1:6" x14ac:dyDescent="0.25">
      <c r="B47" s="22">
        <v>880027</v>
      </c>
      <c r="C47" s="67">
        <v>1</v>
      </c>
      <c r="D47" s="39">
        <v>1</v>
      </c>
      <c r="E47" s="39">
        <v>1</v>
      </c>
      <c r="F47" s="39">
        <v>0</v>
      </c>
    </row>
    <row r="48" spans="1:6" x14ac:dyDescent="0.25">
      <c r="C48" s="67">
        <v>4</v>
      </c>
      <c r="D48" s="39">
        <v>0</v>
      </c>
      <c r="E48" s="39">
        <v>0</v>
      </c>
      <c r="F48" s="39">
        <v>0</v>
      </c>
    </row>
    <row r="49" spans="1:6" x14ac:dyDescent="0.25">
      <c r="A49" s="22" t="s">
        <v>227</v>
      </c>
      <c r="C49" s="67">
        <v>6</v>
      </c>
      <c r="D49" s="39">
        <v>0.33333333333333331</v>
      </c>
      <c r="E49" s="39">
        <v>0.33333333333333331</v>
      </c>
      <c r="F49" s="39">
        <v>0.16666666666666666</v>
      </c>
    </row>
    <row r="50" spans="1:6" x14ac:dyDescent="0.25">
      <c r="A50" s="22" t="s">
        <v>152</v>
      </c>
      <c r="B50" s="22">
        <v>864322</v>
      </c>
      <c r="C50" s="67">
        <v>1</v>
      </c>
      <c r="D50" s="39">
        <v>1</v>
      </c>
      <c r="E50" s="39">
        <v>0</v>
      </c>
      <c r="F50" s="39">
        <v>1</v>
      </c>
    </row>
    <row r="51" spans="1:6" x14ac:dyDescent="0.25">
      <c r="C51" s="67">
        <v>5</v>
      </c>
      <c r="D51" s="39">
        <v>0</v>
      </c>
      <c r="E51" s="39">
        <v>0</v>
      </c>
      <c r="F51" s="39">
        <v>0</v>
      </c>
    </row>
    <row r="52" spans="1:6" x14ac:dyDescent="0.25">
      <c r="A52" s="22" t="s">
        <v>228</v>
      </c>
      <c r="C52" s="67">
        <v>6</v>
      </c>
      <c r="D52" s="39">
        <v>0.16666666666666666</v>
      </c>
      <c r="E52" s="39">
        <v>0</v>
      </c>
      <c r="F52" s="39">
        <v>0.16666666666666666</v>
      </c>
    </row>
    <row r="53" spans="1:6" x14ac:dyDescent="0.25">
      <c r="A53" s="22" t="s">
        <v>172</v>
      </c>
      <c r="B53" s="22">
        <v>863532</v>
      </c>
      <c r="C53" s="67">
        <v>1</v>
      </c>
      <c r="D53" s="39">
        <v>1</v>
      </c>
      <c r="E53" s="39">
        <v>1</v>
      </c>
      <c r="F53" s="39">
        <v>0</v>
      </c>
    </row>
    <row r="54" spans="1:6" x14ac:dyDescent="0.25">
      <c r="B54" s="22">
        <v>886730</v>
      </c>
      <c r="C54" s="67">
        <v>1</v>
      </c>
      <c r="D54" s="39">
        <v>1</v>
      </c>
      <c r="E54" s="39">
        <v>1</v>
      </c>
      <c r="F54" s="39">
        <v>0</v>
      </c>
    </row>
    <row r="55" spans="1:6" x14ac:dyDescent="0.25">
      <c r="C55" s="67">
        <v>4</v>
      </c>
      <c r="D55" s="39">
        <v>0</v>
      </c>
      <c r="E55" s="39">
        <v>0</v>
      </c>
      <c r="F55" s="39">
        <v>0</v>
      </c>
    </row>
    <row r="56" spans="1:6" x14ac:dyDescent="0.25">
      <c r="A56" s="22" t="s">
        <v>229</v>
      </c>
      <c r="C56" s="67">
        <v>6</v>
      </c>
      <c r="D56" s="39">
        <v>0.33333333333333331</v>
      </c>
      <c r="E56" s="39">
        <v>0.33333333333333331</v>
      </c>
      <c r="F56" s="39">
        <v>0</v>
      </c>
    </row>
    <row r="57" spans="1:6" x14ac:dyDescent="0.25">
      <c r="A57" s="22" t="s">
        <v>163</v>
      </c>
      <c r="B57" s="22">
        <v>878294</v>
      </c>
      <c r="C57" s="67">
        <v>1</v>
      </c>
      <c r="D57" s="39">
        <v>1</v>
      </c>
      <c r="E57" s="39">
        <v>1</v>
      </c>
      <c r="F57" s="39">
        <v>0</v>
      </c>
    </row>
    <row r="58" spans="1:6" x14ac:dyDescent="0.25">
      <c r="C58" s="67">
        <v>5</v>
      </c>
      <c r="D58" s="39">
        <v>0</v>
      </c>
      <c r="E58" s="39">
        <v>0</v>
      </c>
      <c r="F58" s="39">
        <v>0</v>
      </c>
    </row>
    <row r="59" spans="1:6" x14ac:dyDescent="0.25">
      <c r="A59" s="22" t="s">
        <v>230</v>
      </c>
      <c r="C59" s="67">
        <v>6</v>
      </c>
      <c r="D59" s="39">
        <v>0.16666666666666666</v>
      </c>
      <c r="E59" s="39">
        <v>0.16666666666666666</v>
      </c>
      <c r="F59" s="39">
        <v>0</v>
      </c>
    </row>
    <row r="60" spans="1:6" x14ac:dyDescent="0.25">
      <c r="A60" s="22" t="s">
        <v>153</v>
      </c>
      <c r="B60" s="22">
        <v>869744</v>
      </c>
      <c r="C60" s="67">
        <v>1</v>
      </c>
      <c r="D60" s="39">
        <v>1</v>
      </c>
      <c r="E60" s="39">
        <v>0</v>
      </c>
      <c r="F60" s="39">
        <v>1</v>
      </c>
    </row>
    <row r="61" spans="1:6" x14ac:dyDescent="0.25">
      <c r="C61" s="67">
        <v>5</v>
      </c>
      <c r="D61" s="39">
        <v>0</v>
      </c>
      <c r="E61" s="39">
        <v>0</v>
      </c>
      <c r="F61" s="39">
        <v>0</v>
      </c>
    </row>
    <row r="62" spans="1:6" x14ac:dyDescent="0.25">
      <c r="A62" s="22" t="s">
        <v>231</v>
      </c>
      <c r="C62" s="67">
        <v>6</v>
      </c>
      <c r="D62" s="39">
        <v>0.16666666666666666</v>
      </c>
      <c r="E62" s="39">
        <v>0</v>
      </c>
      <c r="F62" s="39">
        <v>0.16666666666666666</v>
      </c>
    </row>
    <row r="63" spans="1:6" x14ac:dyDescent="0.25">
      <c r="A63" s="22" t="s">
        <v>145</v>
      </c>
      <c r="C63" s="67">
        <v>6</v>
      </c>
      <c r="D63" s="39">
        <v>0</v>
      </c>
      <c r="E63" s="39">
        <v>0.33333333333333331</v>
      </c>
      <c r="F63" s="39">
        <v>0</v>
      </c>
    </row>
    <row r="64" spans="1:6" x14ac:dyDescent="0.25">
      <c r="A64" s="22" t="s">
        <v>232</v>
      </c>
      <c r="C64" s="67">
        <v>6</v>
      </c>
      <c r="D64" s="39">
        <v>0</v>
      </c>
      <c r="E64" s="39">
        <v>0.33333333333333331</v>
      </c>
      <c r="F64" s="39">
        <v>0</v>
      </c>
    </row>
    <row r="65" spans="1:6" x14ac:dyDescent="0.25">
      <c r="A65" s="22" t="s">
        <v>149</v>
      </c>
      <c r="C65" s="67">
        <v>6</v>
      </c>
      <c r="D65" s="39">
        <v>0</v>
      </c>
      <c r="E65" s="39">
        <v>0</v>
      </c>
      <c r="F65" s="39">
        <v>0</v>
      </c>
    </row>
    <row r="66" spans="1:6" x14ac:dyDescent="0.25">
      <c r="A66" s="22" t="s">
        <v>233</v>
      </c>
      <c r="C66" s="67">
        <v>6</v>
      </c>
      <c r="D66" s="39">
        <v>0</v>
      </c>
      <c r="E66" s="39">
        <v>0</v>
      </c>
      <c r="F66" s="39">
        <v>0</v>
      </c>
    </row>
    <row r="67" spans="1:6" x14ac:dyDescent="0.25">
      <c r="A67" s="22" t="s">
        <v>173</v>
      </c>
      <c r="B67" s="22">
        <v>869668</v>
      </c>
      <c r="C67" s="67">
        <v>1</v>
      </c>
      <c r="D67" s="39">
        <v>1</v>
      </c>
      <c r="E67" s="39">
        <v>1</v>
      </c>
      <c r="F67" s="39">
        <v>0</v>
      </c>
    </row>
    <row r="68" spans="1:6" x14ac:dyDescent="0.25">
      <c r="C68" s="67">
        <v>5</v>
      </c>
      <c r="D68" s="39">
        <v>0</v>
      </c>
      <c r="E68" s="39">
        <v>0</v>
      </c>
      <c r="F68" s="39">
        <v>0</v>
      </c>
    </row>
    <row r="69" spans="1:6" x14ac:dyDescent="0.25">
      <c r="A69" s="22" t="s">
        <v>234</v>
      </c>
      <c r="C69" s="67">
        <v>6</v>
      </c>
      <c r="D69" s="39">
        <v>0.16666666666666666</v>
      </c>
      <c r="E69" s="39">
        <v>0.16666666666666666</v>
      </c>
      <c r="F69" s="39">
        <v>0</v>
      </c>
    </row>
    <row r="70" spans="1:6" x14ac:dyDescent="0.25">
      <c r="A70" s="22" t="s">
        <v>161</v>
      </c>
      <c r="C70" s="67">
        <v>6</v>
      </c>
      <c r="D70" s="39">
        <v>0</v>
      </c>
      <c r="E70" s="39">
        <v>0</v>
      </c>
      <c r="F70" s="39">
        <v>0</v>
      </c>
    </row>
    <row r="71" spans="1:6" x14ac:dyDescent="0.25">
      <c r="A71" s="22" t="s">
        <v>235</v>
      </c>
      <c r="C71" s="67">
        <v>6</v>
      </c>
      <c r="D71" s="39">
        <v>0</v>
      </c>
      <c r="E71" s="39">
        <v>0</v>
      </c>
      <c r="F71" s="39">
        <v>0</v>
      </c>
    </row>
    <row r="72" spans="1:6" x14ac:dyDescent="0.25">
      <c r="A72" s="22" t="s">
        <v>159</v>
      </c>
      <c r="B72" s="22">
        <v>870776</v>
      </c>
      <c r="C72" s="67">
        <v>1</v>
      </c>
      <c r="D72" s="39">
        <v>1</v>
      </c>
      <c r="E72" s="39">
        <v>0</v>
      </c>
      <c r="F72" s="39">
        <v>1</v>
      </c>
    </row>
    <row r="73" spans="1:6" x14ac:dyDescent="0.25">
      <c r="C73" s="67">
        <v>5</v>
      </c>
      <c r="D73" s="39">
        <v>0</v>
      </c>
      <c r="E73" s="39">
        <v>0</v>
      </c>
      <c r="F73" s="39">
        <v>0</v>
      </c>
    </row>
    <row r="74" spans="1:6" x14ac:dyDescent="0.25">
      <c r="A74" s="22" t="s">
        <v>236</v>
      </c>
      <c r="C74" s="67">
        <v>6</v>
      </c>
      <c r="D74" s="39">
        <v>0.16666666666666666</v>
      </c>
      <c r="E74" s="39">
        <v>0</v>
      </c>
      <c r="F74" s="39">
        <v>0.16666666666666666</v>
      </c>
    </row>
    <row r="75" spans="1:6" x14ac:dyDescent="0.25">
      <c r="A75" s="22" t="s">
        <v>168</v>
      </c>
      <c r="C75" s="67">
        <v>6</v>
      </c>
      <c r="D75" s="39">
        <v>0</v>
      </c>
      <c r="E75" s="39">
        <v>0</v>
      </c>
      <c r="F75" s="39">
        <v>0</v>
      </c>
    </row>
    <row r="76" spans="1:6" x14ac:dyDescent="0.25">
      <c r="A76" s="22" t="s">
        <v>237</v>
      </c>
      <c r="C76" s="67">
        <v>6</v>
      </c>
      <c r="D76" s="39">
        <v>0</v>
      </c>
      <c r="E76" s="39">
        <v>0</v>
      </c>
      <c r="F76" s="39">
        <v>0</v>
      </c>
    </row>
    <row r="77" spans="1:6" x14ac:dyDescent="0.25">
      <c r="A77" s="22" t="s">
        <v>174</v>
      </c>
      <c r="C77" s="67">
        <v>6</v>
      </c>
      <c r="D77" s="39">
        <v>0</v>
      </c>
      <c r="E77" s="39">
        <v>0</v>
      </c>
      <c r="F77" s="39">
        <v>0</v>
      </c>
    </row>
    <row r="78" spans="1:6" x14ac:dyDescent="0.25">
      <c r="A78" s="22" t="s">
        <v>238</v>
      </c>
      <c r="C78" s="67">
        <v>6</v>
      </c>
      <c r="D78" s="39">
        <v>0</v>
      </c>
      <c r="E78" s="39">
        <v>0</v>
      </c>
      <c r="F78" s="39">
        <v>0</v>
      </c>
    </row>
    <row r="79" spans="1:6" x14ac:dyDescent="0.25">
      <c r="A79" s="22" t="s">
        <v>148</v>
      </c>
      <c r="C79" s="67">
        <v>6</v>
      </c>
      <c r="D79" s="39">
        <v>0</v>
      </c>
      <c r="E79" s="39">
        <v>0.16666666666666666</v>
      </c>
      <c r="F79" s="39">
        <v>0</v>
      </c>
    </row>
    <row r="80" spans="1:6" x14ac:dyDescent="0.25">
      <c r="A80" s="22" t="s">
        <v>239</v>
      </c>
      <c r="C80" s="67">
        <v>6</v>
      </c>
      <c r="D80" s="39">
        <v>0</v>
      </c>
      <c r="E80" s="39">
        <v>0.16666666666666666</v>
      </c>
      <c r="F80" s="39">
        <v>0</v>
      </c>
    </row>
    <row r="81" spans="1:6" x14ac:dyDescent="0.25">
      <c r="A81" s="22" t="s">
        <v>146</v>
      </c>
      <c r="C81" s="67">
        <v>4</v>
      </c>
      <c r="D81" s="39">
        <v>0</v>
      </c>
      <c r="E81" s="39">
        <v>0</v>
      </c>
      <c r="F81" s="39">
        <v>0</v>
      </c>
    </row>
    <row r="82" spans="1:6" x14ac:dyDescent="0.25">
      <c r="A82" s="22" t="s">
        <v>240</v>
      </c>
      <c r="C82" s="67">
        <v>4</v>
      </c>
      <c r="D82" s="39">
        <v>0</v>
      </c>
      <c r="E82" s="39">
        <v>0</v>
      </c>
      <c r="F82" s="39">
        <v>0</v>
      </c>
    </row>
    <row r="83" spans="1:6" x14ac:dyDescent="0.25">
      <c r="A83" s="22" t="s">
        <v>154</v>
      </c>
      <c r="B83" s="22">
        <v>880322</v>
      </c>
      <c r="C83" s="67">
        <v>1</v>
      </c>
      <c r="D83" s="39">
        <v>1</v>
      </c>
      <c r="E83" s="39">
        <v>0</v>
      </c>
      <c r="F83" s="39">
        <v>1</v>
      </c>
    </row>
    <row r="84" spans="1:6" x14ac:dyDescent="0.25">
      <c r="C84" s="67">
        <v>5</v>
      </c>
      <c r="D84" s="39">
        <v>0</v>
      </c>
      <c r="E84" s="39">
        <v>0</v>
      </c>
      <c r="F84" s="39">
        <v>0</v>
      </c>
    </row>
    <row r="85" spans="1:6" x14ac:dyDescent="0.25">
      <c r="A85" s="22" t="s">
        <v>241</v>
      </c>
      <c r="C85" s="67">
        <v>6</v>
      </c>
      <c r="D85" s="39">
        <v>0.16666666666666666</v>
      </c>
      <c r="E85" s="39">
        <v>0</v>
      </c>
      <c r="F85" s="39">
        <v>0.16666666666666666</v>
      </c>
    </row>
    <row r="86" spans="1:6" x14ac:dyDescent="0.25">
      <c r="A86" s="22" t="s">
        <v>205</v>
      </c>
      <c r="C86" s="67">
        <v>1</v>
      </c>
      <c r="D86" s="39">
        <v>0</v>
      </c>
      <c r="E86" s="39">
        <v>1</v>
      </c>
      <c r="F86" s="39">
        <v>0</v>
      </c>
    </row>
    <row r="87" spans="1:6" x14ac:dyDescent="0.25">
      <c r="A87" s="22" t="s">
        <v>242</v>
      </c>
      <c r="C87" s="67">
        <v>1</v>
      </c>
      <c r="D87" s="39">
        <v>0</v>
      </c>
      <c r="E87" s="39">
        <v>1</v>
      </c>
      <c r="F87" s="39">
        <v>0</v>
      </c>
    </row>
    <row r="88" spans="1:6" x14ac:dyDescent="0.25">
      <c r="A88" s="22" t="s">
        <v>265</v>
      </c>
      <c r="B88" s="22">
        <v>0</v>
      </c>
      <c r="C88" s="67"/>
      <c r="D88" s="39">
        <v>1</v>
      </c>
      <c r="E88" s="39">
        <v>1</v>
      </c>
      <c r="F88" s="39">
        <v>1</v>
      </c>
    </row>
    <row r="89" spans="1:6" x14ac:dyDescent="0.25">
      <c r="A89" s="22" t="s">
        <v>266</v>
      </c>
      <c r="C89" s="67"/>
      <c r="D89" s="39">
        <v>1</v>
      </c>
      <c r="E89" s="39">
        <v>1</v>
      </c>
      <c r="F89" s="39">
        <v>1</v>
      </c>
    </row>
    <row r="90" spans="1:6" x14ac:dyDescent="0.25">
      <c r="A90"/>
      <c r="B90"/>
    </row>
    <row r="91" spans="1:6" x14ac:dyDescent="0.25">
      <c r="A91"/>
      <c r="B91"/>
    </row>
    <row r="92" spans="1:6" x14ac:dyDescent="0.25">
      <c r="A92"/>
      <c r="B92"/>
    </row>
    <row r="93" spans="1:6" x14ac:dyDescent="0.25">
      <c r="A93"/>
      <c r="B93"/>
    </row>
    <row r="94" spans="1:6" x14ac:dyDescent="0.25">
      <c r="A94"/>
      <c r="B94"/>
    </row>
    <row r="95" spans="1:6" x14ac:dyDescent="0.25">
      <c r="A95"/>
      <c r="B95"/>
    </row>
    <row r="96" spans="1:6" x14ac:dyDescent="0.25">
      <c r="A96"/>
      <c r="B96"/>
    </row>
    <row r="97" spans="1:2" x14ac:dyDescent="0.25">
      <c r="A97"/>
      <c r="B97"/>
    </row>
    <row r="98" spans="1:2" x14ac:dyDescent="0.25">
      <c r="A98"/>
      <c r="B98"/>
    </row>
    <row r="99" spans="1:2" x14ac:dyDescent="0.25">
      <c r="A99"/>
      <c r="B99"/>
    </row>
    <row r="100" spans="1:2" x14ac:dyDescent="0.25">
      <c r="A100"/>
      <c r="B100"/>
    </row>
    <row r="101" spans="1:2" x14ac:dyDescent="0.25">
      <c r="A101"/>
      <c r="B101"/>
    </row>
    <row r="102" spans="1:2" x14ac:dyDescent="0.25">
      <c r="A102"/>
      <c r="B102"/>
    </row>
    <row r="103" spans="1:2" x14ac:dyDescent="0.25">
      <c r="A103"/>
      <c r="B103"/>
    </row>
    <row r="104" spans="1:2" x14ac:dyDescent="0.25">
      <c r="A104"/>
      <c r="B104"/>
    </row>
    <row r="105" spans="1:2" x14ac:dyDescent="0.25">
      <c r="A105"/>
      <c r="B105"/>
    </row>
    <row r="106" spans="1:2" x14ac:dyDescent="0.25">
      <c r="A106"/>
      <c r="B106"/>
    </row>
    <row r="107" spans="1:2" x14ac:dyDescent="0.25">
      <c r="A107"/>
      <c r="B107"/>
    </row>
    <row r="108" spans="1:2" x14ac:dyDescent="0.25">
      <c r="A108"/>
      <c r="B108"/>
    </row>
    <row r="109" spans="1:2" x14ac:dyDescent="0.25">
      <c r="A109"/>
      <c r="B109"/>
    </row>
    <row r="110" spans="1:2" x14ac:dyDescent="0.25">
      <c r="A110"/>
      <c r="B110"/>
    </row>
    <row r="111" spans="1:2" x14ac:dyDescent="0.25">
      <c r="A111"/>
      <c r="B111"/>
    </row>
    <row r="112" spans="1:2" x14ac:dyDescent="0.25">
      <c r="A112"/>
      <c r="B112"/>
    </row>
    <row r="113" spans="1:2" x14ac:dyDescent="0.25">
      <c r="A113"/>
      <c r="B113"/>
    </row>
    <row r="114" spans="1:2" x14ac:dyDescent="0.25">
      <c r="A114"/>
      <c r="B114"/>
    </row>
    <row r="115" spans="1:2" x14ac:dyDescent="0.25">
      <c r="A115"/>
      <c r="B115"/>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134667-C699-4437-8881-3AB3E8F5591D}">
  <sheetPr codeName="Sheet10"/>
  <dimension ref="A1:O71"/>
  <sheetViews>
    <sheetView showGridLines="0" zoomScale="110" zoomScaleNormal="110" workbookViewId="0">
      <selection activeCell="M15" sqref="M15"/>
    </sheetView>
  </sheetViews>
  <sheetFormatPr defaultRowHeight="15" x14ac:dyDescent="0.25"/>
  <cols>
    <col min="1" max="1" width="17.42578125" bestFit="1" customWidth="1"/>
    <col min="2" max="2" width="12.28515625" bestFit="1" customWidth="1"/>
    <col min="3" max="3" width="13.140625" bestFit="1" customWidth="1"/>
    <col min="4" max="4" width="16.7109375" bestFit="1" customWidth="1"/>
    <col min="15" max="15" width="7.7109375" customWidth="1"/>
  </cols>
  <sheetData>
    <row r="1" spans="12:15" s="59" customFormat="1" x14ac:dyDescent="0.25"/>
    <row r="2" spans="12:15" s="59" customFormat="1" ht="16.5" thickBot="1" x14ac:dyDescent="0.3">
      <c r="L2" s="108" t="s">
        <v>273</v>
      </c>
    </row>
    <row r="3" spans="12:15" s="59" customFormat="1" ht="15" customHeight="1" x14ac:dyDescent="0.25">
      <c r="L3" s="114" t="s">
        <v>274</v>
      </c>
      <c r="M3" s="115"/>
      <c r="N3" s="115"/>
      <c r="O3" s="116"/>
    </row>
    <row r="4" spans="12:15" s="59" customFormat="1" x14ac:dyDescent="0.25">
      <c r="L4" s="117"/>
      <c r="M4" s="118"/>
      <c r="N4" s="118"/>
      <c r="O4" s="119"/>
    </row>
    <row r="5" spans="12:15" s="59" customFormat="1" x14ac:dyDescent="0.25">
      <c r="L5" s="117"/>
      <c r="M5" s="118"/>
      <c r="N5" s="118"/>
      <c r="O5" s="119"/>
    </row>
    <row r="6" spans="12:15" s="59" customFormat="1" x14ac:dyDescent="0.25">
      <c r="L6" s="117"/>
      <c r="M6" s="118"/>
      <c r="N6" s="118"/>
      <c r="O6" s="119"/>
    </row>
    <row r="7" spans="12:15" s="59" customFormat="1" x14ac:dyDescent="0.25">
      <c r="L7" s="117"/>
      <c r="M7" s="118"/>
      <c r="N7" s="118"/>
      <c r="O7" s="119"/>
    </row>
    <row r="8" spans="12:15" s="59" customFormat="1" x14ac:dyDescent="0.25">
      <c r="L8" s="117"/>
      <c r="M8" s="118"/>
      <c r="N8" s="118"/>
      <c r="O8" s="119"/>
    </row>
    <row r="9" spans="12:15" s="59" customFormat="1" x14ac:dyDescent="0.25">
      <c r="L9" s="117"/>
      <c r="M9" s="118"/>
      <c r="N9" s="118"/>
      <c r="O9" s="119"/>
    </row>
    <row r="10" spans="12:15" s="59" customFormat="1" x14ac:dyDescent="0.25">
      <c r="L10" s="117"/>
      <c r="M10" s="118"/>
      <c r="N10" s="118"/>
      <c r="O10" s="119"/>
    </row>
    <row r="11" spans="12:15" s="59" customFormat="1" ht="15.75" thickBot="1" x14ac:dyDescent="0.3">
      <c r="L11" s="120"/>
      <c r="M11" s="121"/>
      <c r="N11" s="121"/>
      <c r="O11" s="122"/>
    </row>
    <row r="12" spans="12:15" s="59" customFormat="1" x14ac:dyDescent="0.25"/>
    <row r="13" spans="12:15" s="59" customFormat="1" x14ac:dyDescent="0.25"/>
    <row r="14" spans="12:15" s="59" customFormat="1" x14ac:dyDescent="0.25"/>
    <row r="15" spans="12:15" s="59" customFormat="1" x14ac:dyDescent="0.25"/>
    <row r="16" spans="12:15" s="59" customFormat="1" x14ac:dyDescent="0.25"/>
    <row r="17" spans="1:3" hidden="1" x14ac:dyDescent="0.25">
      <c r="A17" s="64" t="s">
        <v>201</v>
      </c>
      <c r="B17" s="22" t="s">
        <v>200</v>
      </c>
    </row>
    <row r="19" spans="1:3" x14ac:dyDescent="0.25">
      <c r="A19" s="64" t="s">
        <v>132</v>
      </c>
      <c r="B19" s="64" t="s">
        <v>135</v>
      </c>
      <c r="C19" s="64" t="s">
        <v>136</v>
      </c>
    </row>
    <row r="20" spans="1:3" x14ac:dyDescent="0.25">
      <c r="A20" s="22">
        <v>44</v>
      </c>
      <c r="B20" s="22" t="s">
        <v>8</v>
      </c>
      <c r="C20" s="22">
        <v>863776</v>
      </c>
    </row>
    <row r="21" spans="1:3" x14ac:dyDescent="0.25">
      <c r="A21" s="22">
        <v>44</v>
      </c>
      <c r="B21" s="22" t="s">
        <v>8</v>
      </c>
      <c r="C21" s="22">
        <v>868755</v>
      </c>
    </row>
    <row r="22" spans="1:3" x14ac:dyDescent="0.25">
      <c r="A22" s="22">
        <v>44</v>
      </c>
      <c r="B22" s="22" t="s">
        <v>1</v>
      </c>
      <c r="C22" s="22">
        <v>863394</v>
      </c>
    </row>
    <row r="23" spans="1:3" x14ac:dyDescent="0.25">
      <c r="A23" s="22">
        <v>44</v>
      </c>
      <c r="B23" s="22" t="s">
        <v>1</v>
      </c>
      <c r="C23" s="22">
        <v>865371</v>
      </c>
    </row>
    <row r="24" spans="1:3" x14ac:dyDescent="0.25">
      <c r="A24" s="22">
        <v>44</v>
      </c>
      <c r="B24" s="22" t="s">
        <v>6</v>
      </c>
      <c r="C24" s="22">
        <v>863743</v>
      </c>
    </row>
    <row r="25" spans="1:3" x14ac:dyDescent="0.25">
      <c r="A25" s="22">
        <v>44</v>
      </c>
      <c r="B25" s="22" t="s">
        <v>6</v>
      </c>
      <c r="C25" s="22">
        <v>863819</v>
      </c>
    </row>
    <row r="26" spans="1:3" x14ac:dyDescent="0.25">
      <c r="A26" s="22">
        <v>44</v>
      </c>
      <c r="B26" s="22" t="s">
        <v>6</v>
      </c>
      <c r="C26" s="22">
        <v>863877</v>
      </c>
    </row>
    <row r="27" spans="1:3" x14ac:dyDescent="0.25">
      <c r="A27" s="22">
        <v>44</v>
      </c>
      <c r="B27" s="22" t="s">
        <v>6</v>
      </c>
      <c r="C27" s="22">
        <v>863986</v>
      </c>
    </row>
    <row r="28" spans="1:3" x14ac:dyDescent="0.25">
      <c r="A28" s="22">
        <v>44</v>
      </c>
      <c r="B28" s="22" t="s">
        <v>6</v>
      </c>
      <c r="C28" s="22">
        <v>865152</v>
      </c>
    </row>
    <row r="29" spans="1:3" x14ac:dyDescent="0.25">
      <c r="A29" s="22">
        <v>44</v>
      </c>
      <c r="B29" s="22" t="s">
        <v>6</v>
      </c>
      <c r="C29" s="22">
        <v>865296</v>
      </c>
    </row>
    <row r="30" spans="1:3" x14ac:dyDescent="0.25">
      <c r="A30" s="22">
        <v>44</v>
      </c>
      <c r="B30" s="22" t="s">
        <v>6</v>
      </c>
      <c r="C30" s="22">
        <v>865670</v>
      </c>
    </row>
    <row r="31" spans="1:3" x14ac:dyDescent="0.25">
      <c r="A31" s="22">
        <v>44</v>
      </c>
      <c r="B31" s="22" t="s">
        <v>6</v>
      </c>
      <c r="C31" s="22">
        <v>865783</v>
      </c>
    </row>
    <row r="32" spans="1:3" x14ac:dyDescent="0.25">
      <c r="A32" s="22">
        <v>44</v>
      </c>
      <c r="B32" s="22" t="s">
        <v>6</v>
      </c>
      <c r="C32" s="22">
        <v>867504</v>
      </c>
    </row>
    <row r="33" spans="1:3" x14ac:dyDescent="0.25">
      <c r="A33" s="22">
        <v>44</v>
      </c>
      <c r="B33" s="22" t="s">
        <v>6</v>
      </c>
      <c r="C33" s="22">
        <v>867608</v>
      </c>
    </row>
    <row r="34" spans="1:3" x14ac:dyDescent="0.25">
      <c r="A34" s="22">
        <v>44</v>
      </c>
      <c r="B34" s="22" t="s">
        <v>6</v>
      </c>
      <c r="C34" s="22">
        <v>869288</v>
      </c>
    </row>
    <row r="35" spans="1:3" x14ac:dyDescent="0.25">
      <c r="A35" s="22">
        <v>44</v>
      </c>
      <c r="B35" s="22" t="s">
        <v>6</v>
      </c>
      <c r="C35" s="22">
        <v>871270</v>
      </c>
    </row>
    <row r="36" spans="1:3" x14ac:dyDescent="0.25">
      <c r="A36" s="22">
        <v>44</v>
      </c>
      <c r="B36" s="22" t="s">
        <v>6</v>
      </c>
      <c r="C36" s="22">
        <v>871305</v>
      </c>
    </row>
    <row r="37" spans="1:3" x14ac:dyDescent="0.25">
      <c r="A37" s="22">
        <v>44</v>
      </c>
      <c r="B37" s="22" t="s">
        <v>6</v>
      </c>
      <c r="C37" s="22">
        <v>871429</v>
      </c>
    </row>
    <row r="38" spans="1:3" x14ac:dyDescent="0.25">
      <c r="A38" s="22">
        <v>45</v>
      </c>
      <c r="B38" s="22" t="s">
        <v>8</v>
      </c>
      <c r="C38" s="22">
        <v>880418</v>
      </c>
    </row>
    <row r="39" spans="1:3" x14ac:dyDescent="0.25">
      <c r="A39" s="22">
        <v>45</v>
      </c>
      <c r="B39" s="22" t="s">
        <v>1</v>
      </c>
      <c r="C39" s="22">
        <v>874488</v>
      </c>
    </row>
    <row r="40" spans="1:3" x14ac:dyDescent="0.25">
      <c r="A40" s="22">
        <v>45</v>
      </c>
      <c r="B40" s="22" t="s">
        <v>1</v>
      </c>
      <c r="C40" s="22">
        <v>876405</v>
      </c>
    </row>
    <row r="41" spans="1:3" x14ac:dyDescent="0.25">
      <c r="A41" s="22">
        <v>45</v>
      </c>
      <c r="B41" s="22" t="s">
        <v>1</v>
      </c>
      <c r="C41" s="22">
        <v>880983</v>
      </c>
    </row>
    <row r="42" spans="1:3" x14ac:dyDescent="0.25">
      <c r="A42" s="22">
        <v>45</v>
      </c>
      <c r="B42" s="22" t="s">
        <v>6</v>
      </c>
      <c r="C42" s="22">
        <v>873957</v>
      </c>
    </row>
    <row r="43" spans="1:3" x14ac:dyDescent="0.25">
      <c r="A43" s="22">
        <v>45</v>
      </c>
      <c r="B43" s="22" t="s">
        <v>6</v>
      </c>
      <c r="C43" s="22">
        <v>874600</v>
      </c>
    </row>
    <row r="44" spans="1:3" x14ac:dyDescent="0.25">
      <c r="A44" s="22">
        <v>45</v>
      </c>
      <c r="B44" s="22" t="s">
        <v>6</v>
      </c>
      <c r="C44" s="22">
        <v>874769</v>
      </c>
    </row>
    <row r="45" spans="1:3" x14ac:dyDescent="0.25">
      <c r="A45" s="22">
        <v>45</v>
      </c>
      <c r="B45" s="22" t="s">
        <v>6</v>
      </c>
      <c r="C45" s="22">
        <v>874789</v>
      </c>
    </row>
    <row r="46" spans="1:3" x14ac:dyDescent="0.25">
      <c r="A46" s="22">
        <v>45</v>
      </c>
      <c r="B46" s="22" t="s">
        <v>6</v>
      </c>
      <c r="C46" s="22">
        <v>874796</v>
      </c>
    </row>
    <row r="47" spans="1:3" x14ac:dyDescent="0.25">
      <c r="A47" s="22">
        <v>45</v>
      </c>
      <c r="B47" s="22" t="s">
        <v>6</v>
      </c>
      <c r="C47" s="22">
        <v>874811</v>
      </c>
    </row>
    <row r="48" spans="1:3" x14ac:dyDescent="0.25">
      <c r="A48" s="22">
        <v>45</v>
      </c>
      <c r="B48" s="22" t="s">
        <v>6</v>
      </c>
      <c r="C48" s="22">
        <v>874949</v>
      </c>
    </row>
    <row r="49" spans="1:3" x14ac:dyDescent="0.25">
      <c r="A49" s="22">
        <v>45</v>
      </c>
      <c r="B49" s="22" t="s">
        <v>6</v>
      </c>
      <c r="C49" s="22">
        <v>875087</v>
      </c>
    </row>
    <row r="50" spans="1:3" x14ac:dyDescent="0.25">
      <c r="A50" s="22">
        <v>45</v>
      </c>
      <c r="B50" s="22" t="s">
        <v>6</v>
      </c>
      <c r="C50" s="22">
        <v>876699</v>
      </c>
    </row>
    <row r="51" spans="1:3" x14ac:dyDescent="0.25">
      <c r="A51" s="22">
        <v>45</v>
      </c>
      <c r="B51" s="22" t="s">
        <v>6</v>
      </c>
      <c r="C51" s="22">
        <v>878394</v>
      </c>
    </row>
    <row r="52" spans="1:3" x14ac:dyDescent="0.25">
      <c r="A52" s="22">
        <v>45</v>
      </c>
      <c r="B52" s="22" t="s">
        <v>6</v>
      </c>
      <c r="C52" s="22">
        <v>879538</v>
      </c>
    </row>
    <row r="53" spans="1:3" x14ac:dyDescent="0.25">
      <c r="A53" s="22">
        <v>45</v>
      </c>
      <c r="B53" s="22" t="s">
        <v>6</v>
      </c>
      <c r="C53" s="22">
        <v>879871</v>
      </c>
    </row>
    <row r="54" spans="1:3" x14ac:dyDescent="0.25">
      <c r="A54" s="22">
        <v>45</v>
      </c>
      <c r="B54" s="22" t="s">
        <v>6</v>
      </c>
      <c r="C54" s="22">
        <v>879936</v>
      </c>
    </row>
    <row r="55" spans="1:3" x14ac:dyDescent="0.25">
      <c r="A55" s="22">
        <v>45</v>
      </c>
      <c r="B55" s="22" t="s">
        <v>6</v>
      </c>
      <c r="C55" s="22">
        <v>881383</v>
      </c>
    </row>
    <row r="56" spans="1:3" x14ac:dyDescent="0.25">
      <c r="A56" s="22">
        <v>46</v>
      </c>
      <c r="B56" s="22" t="s">
        <v>8</v>
      </c>
      <c r="C56" s="22">
        <v>883568</v>
      </c>
    </row>
    <row r="57" spans="1:3" x14ac:dyDescent="0.25">
      <c r="A57" s="22">
        <v>46</v>
      </c>
      <c r="B57" s="22" t="s">
        <v>8</v>
      </c>
      <c r="C57" s="22">
        <v>885381</v>
      </c>
    </row>
    <row r="58" spans="1:3" x14ac:dyDescent="0.25">
      <c r="A58" s="22">
        <v>46</v>
      </c>
      <c r="B58" s="22" t="s">
        <v>1</v>
      </c>
      <c r="C58" s="22">
        <v>884043</v>
      </c>
    </row>
    <row r="59" spans="1:3" x14ac:dyDescent="0.25">
      <c r="A59" s="22">
        <v>46</v>
      </c>
      <c r="B59" s="22" t="s">
        <v>1</v>
      </c>
      <c r="C59" s="22">
        <v>889171</v>
      </c>
    </row>
    <row r="60" spans="1:3" x14ac:dyDescent="0.25">
      <c r="A60" s="22">
        <v>46</v>
      </c>
      <c r="B60" s="22" t="s">
        <v>1</v>
      </c>
      <c r="C60" s="22">
        <v>889360</v>
      </c>
    </row>
    <row r="61" spans="1:3" x14ac:dyDescent="0.25">
      <c r="A61" s="22">
        <v>46</v>
      </c>
      <c r="B61" s="22" t="s">
        <v>4</v>
      </c>
      <c r="C61" s="22"/>
    </row>
    <row r="62" spans="1:3" x14ac:dyDescent="0.25">
      <c r="A62" s="22">
        <v>46</v>
      </c>
      <c r="B62" s="22" t="s">
        <v>6</v>
      </c>
      <c r="C62" s="22">
        <v>884647</v>
      </c>
    </row>
    <row r="63" spans="1:3" x14ac:dyDescent="0.25">
      <c r="A63" s="22">
        <v>46</v>
      </c>
      <c r="B63" s="22" t="s">
        <v>6</v>
      </c>
      <c r="C63" s="22">
        <v>884695</v>
      </c>
    </row>
    <row r="64" spans="1:3" x14ac:dyDescent="0.25">
      <c r="A64" s="22">
        <v>46</v>
      </c>
      <c r="B64" s="22" t="s">
        <v>6</v>
      </c>
      <c r="C64" s="22">
        <v>884997</v>
      </c>
    </row>
    <row r="65" spans="1:3" x14ac:dyDescent="0.25">
      <c r="A65" s="22">
        <v>46</v>
      </c>
      <c r="B65" s="22" t="s">
        <v>6</v>
      </c>
      <c r="C65" s="22">
        <v>886117</v>
      </c>
    </row>
    <row r="66" spans="1:3" x14ac:dyDescent="0.25">
      <c r="A66" s="22">
        <v>46</v>
      </c>
      <c r="B66" s="22" t="s">
        <v>6</v>
      </c>
      <c r="C66" s="22">
        <v>886376</v>
      </c>
    </row>
    <row r="67" spans="1:3" x14ac:dyDescent="0.25">
      <c r="A67" s="22">
        <v>46</v>
      </c>
      <c r="B67" s="22" t="s">
        <v>6</v>
      </c>
      <c r="C67" s="22">
        <v>886799</v>
      </c>
    </row>
    <row r="68" spans="1:3" x14ac:dyDescent="0.25">
      <c r="A68" s="22">
        <v>46</v>
      </c>
      <c r="B68" s="22" t="s">
        <v>6</v>
      </c>
      <c r="C68" s="22">
        <v>886817</v>
      </c>
    </row>
    <row r="69" spans="1:3" x14ac:dyDescent="0.25">
      <c r="A69" s="22">
        <v>46</v>
      </c>
      <c r="B69" s="22" t="s">
        <v>6</v>
      </c>
      <c r="C69" s="22">
        <v>888026</v>
      </c>
    </row>
    <row r="70" spans="1:3" x14ac:dyDescent="0.25">
      <c r="A70" s="22">
        <v>46</v>
      </c>
      <c r="B70" s="22" t="s">
        <v>6</v>
      </c>
      <c r="C70" s="22">
        <v>888407</v>
      </c>
    </row>
    <row r="71" spans="1:3" x14ac:dyDescent="0.25">
      <c r="A71" s="22">
        <v>48</v>
      </c>
      <c r="B71" s="22" t="s">
        <v>6</v>
      </c>
      <c r="C71" s="22">
        <v>865176</v>
      </c>
    </row>
  </sheetData>
  <mergeCells count="1">
    <mergeCell ref="L3:O11"/>
  </mergeCells>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59AF92-F2BC-4201-945D-615D74A47E30}">
  <sheetPr codeName="Sheet11"/>
  <dimension ref="A1:E3"/>
  <sheetViews>
    <sheetView workbookViewId="0">
      <selection activeCell="E45" sqref="E45"/>
    </sheetView>
  </sheetViews>
  <sheetFormatPr defaultRowHeight="15" x14ac:dyDescent="0.25"/>
  <cols>
    <col min="1" max="1" width="26.140625" customWidth="1"/>
  </cols>
  <sheetData>
    <row r="1" spans="1:5" x14ac:dyDescent="0.25">
      <c r="A1" t="s">
        <v>202</v>
      </c>
      <c r="E1" s="65"/>
    </row>
    <row r="2" spans="1:5" x14ac:dyDescent="0.25">
      <c r="E2" s="66"/>
    </row>
    <row r="3" spans="1:5" x14ac:dyDescent="0.25">
      <c r="E3" s="65"/>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2B6B2-EE0F-4ECD-8674-0477DE2D7CFA}">
  <sheetPr codeName="Sheet5"/>
  <dimension ref="A1:BS54"/>
  <sheetViews>
    <sheetView showGridLines="0" topLeftCell="BJ1" workbookViewId="0">
      <selection activeCell="BN14" sqref="BN14"/>
    </sheetView>
  </sheetViews>
  <sheetFormatPr defaultRowHeight="15" x14ac:dyDescent="0.25"/>
  <cols>
    <col min="2" max="2" width="13.140625" bestFit="1" customWidth="1"/>
    <col min="3" max="3" width="28.28515625" bestFit="1" customWidth="1"/>
    <col min="4" max="4" width="10.5703125" style="59" customWidth="1"/>
    <col min="5" max="5" width="10.5703125" customWidth="1"/>
    <col min="8" max="8" width="13.140625" bestFit="1" customWidth="1"/>
    <col min="9" max="9" width="26.42578125" bestFit="1" customWidth="1"/>
    <col min="10" max="11" width="10.5703125" style="59" customWidth="1"/>
    <col min="14" max="14" width="13.140625" bestFit="1" customWidth="1"/>
    <col min="15" max="15" width="29.140625" bestFit="1" customWidth="1"/>
    <col min="16" max="16" width="11.28515625" style="59" customWidth="1"/>
    <col min="17" max="17" width="11.28515625" customWidth="1"/>
    <col min="18" max="18" width="11.28515625" style="59" customWidth="1"/>
    <col min="19" max="20" width="11.28515625" style="22" customWidth="1"/>
    <col min="21" max="21" width="11.28515625" style="59" customWidth="1"/>
    <col min="24" max="24" width="13.140625" style="22" customWidth="1"/>
    <col min="25" max="25" width="9.140625" style="22" bestFit="1" customWidth="1"/>
    <col min="26" max="26" width="8.7109375" style="22" bestFit="1" customWidth="1"/>
    <col min="27" max="27" width="11.42578125" style="22" bestFit="1" customWidth="1"/>
    <col min="32" max="32" width="10.42578125" bestFit="1" customWidth="1"/>
    <col min="34" max="34" width="8.7109375" bestFit="1" customWidth="1"/>
    <col min="35" max="35" width="11.42578125" bestFit="1" customWidth="1"/>
    <col min="36" max="36" width="9" customWidth="1"/>
    <col min="42" max="42" width="25.7109375" bestFit="1" customWidth="1"/>
    <col min="43" max="43" width="17.85546875" bestFit="1" customWidth="1"/>
    <col min="44" max="44" width="4" style="59" bestFit="1" customWidth="1"/>
    <col min="45" max="45" width="7.28515625" style="59" bestFit="1" customWidth="1"/>
    <col min="46" max="46" width="4.140625" style="59" bestFit="1" customWidth="1"/>
    <col min="47" max="47" width="11.28515625" bestFit="1" customWidth="1"/>
    <col min="49" max="49" width="32.85546875" style="22" bestFit="1" customWidth="1"/>
    <col min="50" max="50" width="13.140625" style="22" bestFit="1" customWidth="1"/>
    <col min="51" max="51" width="13.140625" style="22" customWidth="1"/>
    <col min="52" max="52" width="13.140625" style="22" bestFit="1" customWidth="1"/>
    <col min="53" max="53" width="13.140625" style="84" customWidth="1"/>
    <col min="54" max="54" width="3.85546875" style="84" customWidth="1"/>
    <col min="55" max="55" width="32.85546875" bestFit="1" customWidth="1"/>
    <col min="56" max="56" width="9.5703125" customWidth="1"/>
    <col min="57" max="57" width="7" bestFit="1" customWidth="1"/>
    <col min="58" max="58" width="12.5703125" customWidth="1"/>
    <col min="59" max="59" width="13" customWidth="1"/>
    <col min="60" max="60" width="11.85546875" customWidth="1"/>
    <col min="61" max="61" width="22.28515625" customWidth="1"/>
    <col min="62" max="62" width="7" bestFit="1" customWidth="1"/>
    <col min="63" max="63" width="7" style="59" customWidth="1"/>
    <col min="64" max="64" width="7.7109375" bestFit="1" customWidth="1"/>
    <col min="65" max="65" width="4" style="22" customWidth="1"/>
    <col min="66" max="67" width="7.5703125" style="22" customWidth="1"/>
    <col min="68" max="68" width="12.140625" style="22" bestFit="1" customWidth="1"/>
    <col min="69" max="69" width="12.140625" bestFit="1" customWidth="1"/>
    <col min="70" max="70" width="12" bestFit="1" customWidth="1"/>
    <col min="71" max="71" width="12.140625" bestFit="1" customWidth="1"/>
    <col min="72" max="72" width="12" bestFit="1" customWidth="1"/>
    <col min="73" max="87" width="7" bestFit="1" customWidth="1"/>
  </cols>
  <sheetData>
    <row r="1" spans="1:71" ht="15.75" thickBot="1" x14ac:dyDescent="0.3">
      <c r="A1" s="22"/>
      <c r="B1" s="32" t="s">
        <v>137</v>
      </c>
      <c r="C1" s="59" t="s">
        <v>254</v>
      </c>
      <c r="H1" s="32" t="s">
        <v>137</v>
      </c>
      <c r="I1" s="59" t="s">
        <v>254</v>
      </c>
      <c r="N1" s="32" t="s">
        <v>137</v>
      </c>
      <c r="O1" s="59" t="s">
        <v>254</v>
      </c>
      <c r="S1" s="78" t="s">
        <v>257</v>
      </c>
      <c r="T1" s="81">
        <v>0.85</v>
      </c>
      <c r="X1" s="43" t="s">
        <v>137</v>
      </c>
      <c r="Y1" s="44" t="s">
        <v>185</v>
      </c>
      <c r="Z1" s="44" t="s">
        <v>186</v>
      </c>
      <c r="AA1" s="45" t="s">
        <v>187</v>
      </c>
      <c r="AB1" s="46" t="s">
        <v>189</v>
      </c>
      <c r="AF1" s="43" t="s">
        <v>132</v>
      </c>
      <c r="AG1" s="44" t="s">
        <v>185</v>
      </c>
      <c r="AH1" s="44" t="s">
        <v>186</v>
      </c>
      <c r="AI1" s="45" t="s">
        <v>187</v>
      </c>
      <c r="AJ1" s="46" t="s">
        <v>189</v>
      </c>
      <c r="AL1" s="46" t="s">
        <v>189</v>
      </c>
      <c r="AW1" s="82" t="s">
        <v>185</v>
      </c>
      <c r="AX1" s="85" t="s">
        <v>259</v>
      </c>
      <c r="AY1" s="85" t="s">
        <v>269</v>
      </c>
      <c r="AZ1" s="85" t="s">
        <v>260</v>
      </c>
      <c r="BA1" s="86">
        <v>3</v>
      </c>
      <c r="BB1" s="85" t="s">
        <v>264</v>
      </c>
      <c r="BC1" s="85" t="s">
        <v>263</v>
      </c>
      <c r="BD1" s="85" t="s">
        <v>260</v>
      </c>
      <c r="BE1" s="87"/>
      <c r="BF1" s="101" t="s">
        <v>137</v>
      </c>
      <c r="BG1" s="101" t="s">
        <v>132</v>
      </c>
      <c r="BH1" s="101" t="s">
        <v>135</v>
      </c>
      <c r="BI1" s="102" t="s">
        <v>262</v>
      </c>
      <c r="BL1" s="106" t="s">
        <v>200</v>
      </c>
      <c r="BM1" s="105" t="s">
        <v>264</v>
      </c>
      <c r="BN1" s="104" t="s">
        <v>132</v>
      </c>
      <c r="BO1" s="104" t="s">
        <v>135</v>
      </c>
      <c r="BP1" s="104" t="s">
        <v>271</v>
      </c>
    </row>
    <row r="2" spans="1:71" x14ac:dyDescent="0.25">
      <c r="A2" s="39"/>
      <c r="B2" s="32" t="s">
        <v>132</v>
      </c>
      <c r="C2" s="59" t="s">
        <v>184</v>
      </c>
      <c r="H2" s="32" t="s">
        <v>132</v>
      </c>
      <c r="I2" s="59" t="s">
        <v>184</v>
      </c>
      <c r="N2" s="32" t="s">
        <v>132</v>
      </c>
      <c r="O2" s="59" t="s">
        <v>184</v>
      </c>
      <c r="S2" s="78" t="s">
        <v>258</v>
      </c>
      <c r="T2" s="81">
        <v>1.4999999999999999E-2</v>
      </c>
      <c r="X2" s="41" t="str" cm="1">
        <f t="array" ref="X2:X9">_xlfn.SORTBY(_xlfn.UNIQUE(Data_Table[Month]),MATCH(_xlfn.UNIQUE(Data_Table[Month]),Custom,0))</f>
        <v>Apr</v>
      </c>
      <c r="Y2" s="42">
        <f>IF(X2="","",COUNTIFS(Data_Table[[#All],[Month]],'Data Preparation'!$X2,Data_Table[[#All],[Attribute Fail Rate]],'Data Preparation'!$AB$1)/COUNTIF(Data_Table[[#All],[Month]],'Data Preparation'!$X2))</f>
        <v>1</v>
      </c>
      <c r="Z2" s="42">
        <f>IF(X2="","",COUNTIFS(Data_Table[[#All],[Month]],'Data Preparation'!$X2,Data_Table[[#All],[Business Critical PF]],'Data Preparation'!$AB$1)/COUNTIF(Data_Table[[#All],[Month]],'Data Preparation'!$X2))</f>
        <v>1</v>
      </c>
      <c r="AA2" s="42">
        <f>IF(X2="","",COUNTIFS(Data_Table[[#All],[Month]],'Data Preparation'!$X2,Data_Table[[#All],[Compliance Critical]],'Data Preparation'!$AB$1)/COUNTIF(Data_Table[[#All],[Month]],'Data Preparation'!$X2))</f>
        <v>1</v>
      </c>
      <c r="AB2" s="22">
        <v>6</v>
      </c>
      <c r="AF2" s="41" cm="1">
        <f t="array" ref="AF2:AF11">_xlfn._xlws.SORT(_xlfn.UNIQUE(Data_Table[Week]),1,1)</f>
        <v>14</v>
      </c>
      <c r="AG2" s="42">
        <f>IF(AF2="","",COUNTIFS(Data_Table[[#All],[Week]],'Data Preparation'!$AF2,Data_Table[[#All],[Attribute Fail Rate]],'Data Preparation'!$AB$1)/COUNTIF(Data_Table[[#All],[Week]],'Data Preparation'!$AF2))</f>
        <v>1</v>
      </c>
      <c r="AH2" s="42">
        <f>IF(AF2="","",COUNTIFS(Data_Table[[#All],[Week]],'Data Preparation'!$AF2,Data_Table[[#All],[Business Critical PF]],'Data Preparation'!$AB$1)/COUNTIF(Data_Table[[#All],[Week]],'Data Preparation'!$AF2))</f>
        <v>1</v>
      </c>
      <c r="AI2" s="42">
        <f>IF(AF2="","",COUNTIFS(Data_Table[[#All],[Week]],'Data Preparation'!$AF2,Data_Table[[#All],[Compliance Critical]],'Data Preparation'!$AB$1)/COUNTIF(Data_Table[[#All],[Week]],'Data Preparation'!$AF2))</f>
        <v>1</v>
      </c>
      <c r="AJ2" s="25">
        <v>6</v>
      </c>
      <c r="AP2" s="32" t="s">
        <v>203</v>
      </c>
      <c r="AQ2" s="59" t="s">
        <v>204</v>
      </c>
      <c r="AW2" s="88" t="s">
        <v>112</v>
      </c>
      <c r="AX2" s="1">
        <f>COUNTIFS(Data_Table[Grammar &amp; Syntax ],1,Data_Table[Month],IF($BF$2="All Months","&lt;&gt;"&amp;"",$BF$2),Data_Table[Week],IF($BG$2="All Weeks","&lt;&gt;"&amp;"",$BG$2),Data_Table[Region],IF($BH$2="All Regions","&lt;&gt;"&amp;"",$BH$2),Data_Table[Agent Name],IF($BI$2="All Agents","&lt;&gt;"&amp;"",$BI$2))</f>
        <v>0</v>
      </c>
      <c r="AY2" s="1">
        <f>COUNTIFS(Data_Table[Grammar &amp; Syntax ],"&lt;&gt;"&amp;"",Data_Table[Month],IF($BF$2="All Months","&lt;&gt;"&amp;"",$BF$2),Data_Table[Week],IF($BG$2="All Weeks","&lt;&gt;"&amp;"",$BG$2),Data_Table[Region],IF($BH$2="All Regions","&lt;&gt;"&amp;"",$BH$2),Data_Table[Agent Name],IF($BI$2="All Agents","&lt;&gt;"&amp;"",$BI$2))</f>
        <v>161</v>
      </c>
      <c r="AZ2" s="80">
        <f>IFERROR(AX2/AY2,0)</f>
        <v>0</v>
      </c>
      <c r="BA2" s="98">
        <f>IF(LARGE(AZ2:AZ18,BA1)=0,"Zeros",LARGE(AZ2:AZ18,BA1))</f>
        <v>1.8633540372670808E-2</v>
      </c>
      <c r="BB2" s="96">
        <f>IF(ROWS(BB$2:BB2)&gt;$BA$3,"",ROWS(BB$2:BB2))</f>
        <v>1</v>
      </c>
      <c r="BC2" s="96" t="str" cm="1">
        <f t="array" ref="BC2">IF(BB2="","",INDEX($AW$2:$AW$18,_xlfn.AGGREGATE(15,6,(ROW($AZ$2:$AZ$18)-ROW($AZ$2)+1)/($AZ$2:$AZ$18=BD2),COUNTIF($BD$2:BD2,BD2))))</f>
        <v>Resolution time</v>
      </c>
      <c r="BD2" s="97">
        <f>IF(BB2="","",LARGE($AZ$2:$AZ$18,BB2))</f>
        <v>7.4534161490683232E-2</v>
      </c>
      <c r="BE2" s="89"/>
      <c r="BF2" s="96" t="s">
        <v>179</v>
      </c>
      <c r="BG2" s="96" t="s">
        <v>180</v>
      </c>
      <c r="BH2" s="96" t="s">
        <v>256</v>
      </c>
      <c r="BI2" s="103" t="s">
        <v>267</v>
      </c>
      <c r="BM2" s="1"/>
      <c r="BN2" s="1" t="s">
        <v>272</v>
      </c>
      <c r="BO2" s="1"/>
      <c r="BP2" s="107"/>
      <c r="BQ2" s="59"/>
      <c r="BR2" s="59"/>
      <c r="BS2" s="59"/>
    </row>
    <row r="3" spans="1:71" x14ac:dyDescent="0.25">
      <c r="A3" s="22"/>
      <c r="B3" s="32" t="s">
        <v>133</v>
      </c>
      <c r="C3" s="59" t="s">
        <v>184</v>
      </c>
      <c r="H3" s="32" t="s">
        <v>133</v>
      </c>
      <c r="I3" s="59" t="s">
        <v>184</v>
      </c>
      <c r="N3" s="32" t="s">
        <v>133</v>
      </c>
      <c r="O3" s="59" t="s">
        <v>184</v>
      </c>
      <c r="X3" s="1" t="str">
        <v>May</v>
      </c>
      <c r="Y3" s="40">
        <f>IF(X3="","",COUNTIFS(Data_Table[[#All],[Month]],'Data Preparation'!$X3,Data_Table[[#All],[Attribute Fail Rate]],'Data Preparation'!$AB$1)/COUNTIF(Data_Table[[#All],[Month]],'Data Preparation'!$X3))</f>
        <v>1</v>
      </c>
      <c r="Z3" s="40">
        <f>IF(X3="","",COUNTIFS(Data_Table[[#All],[Month]],'Data Preparation'!$X3,Data_Table[[#All],[Business Critical PF]],'Data Preparation'!$AB$1)/COUNTIF(Data_Table[[#All],[Month]],'Data Preparation'!$X3))</f>
        <v>1</v>
      </c>
      <c r="AA3" s="40">
        <f>IF(X3="","",COUNTIFS(Data_Table[[#All],[Month]],'Data Preparation'!$X3,Data_Table[[#All],[Compliance Critical]],'Data Preparation'!$AB$1)/COUNTIF(Data_Table[[#All],[Month]],'Data Preparation'!$X3))</f>
        <v>1</v>
      </c>
      <c r="AF3" s="1">
        <v>19</v>
      </c>
      <c r="AG3" s="42">
        <f>IF(AF3="","",COUNTIFS(Data_Table[[#All],[Week]],'Data Preparation'!$AF3,Data_Table[[#All],[Attribute Fail Rate]],'Data Preparation'!$AB$1)/COUNTIF(Data_Table[[#All],[Week]],'Data Preparation'!$AF3))</f>
        <v>1</v>
      </c>
      <c r="AH3" s="42">
        <f>IF(AF3="","",COUNTIFS(Data_Table[[#All],[Week]],'Data Preparation'!$AF3,Data_Table[[#All],[Business Critical PF]],'Data Preparation'!$AB$1)/COUNTIF(Data_Table[[#All],[Week]],'Data Preparation'!$AF3))</f>
        <v>1</v>
      </c>
      <c r="AI3" s="42">
        <f>IF(AF3="","",COUNTIFS(Data_Table[[#All],[Week]],'Data Preparation'!$AF3,Data_Table[[#All],[Compliance Critical]],'Data Preparation'!$AB$1)/COUNTIF(Data_Table[[#All],[Week]],'Data Preparation'!$AF3))</f>
        <v>1</v>
      </c>
      <c r="AP3" s="32" t="s">
        <v>193</v>
      </c>
      <c r="AQ3" s="59" t="s">
        <v>200</v>
      </c>
      <c r="AW3" s="88" t="s">
        <v>113</v>
      </c>
      <c r="AX3" s="1">
        <f>COUNTIFS(Data_Table[Appropriate communication starter],1,Data_Table[Month],IF($BF$2="All Months","&lt;&gt;"&amp;"",$BF$2),Data_Table[Week],IF($BG$2="All Weeks","&lt;&gt;"&amp;"",$BG$2),Data_Table[Region],IF($BH$2="All Regions","&lt;&gt;"&amp;"",$BH$2),Data_Table[Agent Name],IF($BI$2="All Agents","&lt;&gt;"&amp;"",$BI$2))</f>
        <v>0</v>
      </c>
      <c r="AY3" s="1">
        <f>COUNTIFS(Data_Table[Appropriate communication starter],"&lt;&gt;"&amp;"",Data_Table[Month],IF($BF$2="All Months","&lt;&gt;"&amp;"",$BF$2),Data_Table[Week],IF($BG$2="All Weeks","&lt;&gt;"&amp;"",$BG$2),Data_Table[Region],IF($BH$2="All Regions","&lt;&gt;"&amp;"",$BH$2),Data_Table[Agent Name],IF($BI$2="All Agents","&lt;&gt;"&amp;"",$BI$2))</f>
        <v>161</v>
      </c>
      <c r="AZ3" s="80">
        <f t="shared" ref="AZ3:AZ18" si="0">IFERROR(AX3/AY3,0)</f>
        <v>0</v>
      </c>
      <c r="BA3" s="100">
        <f>IF(BA2="Zeros",3,COUNTIF(AZ2:AZ18,"&gt;="&amp;BA2))</f>
        <v>3</v>
      </c>
      <c r="BB3" s="96">
        <f>IF(ROWS(BB$2:BB3)&gt;$BA$3,"",ROWS(BB$2:BB3))</f>
        <v>2</v>
      </c>
      <c r="BC3" s="96" t="str" cm="1">
        <f t="array" ref="BC3">IF(BB3="","",INDEX($AW$2:$AW$18,_xlfn.AGGREGATE(15,6,(ROW($AZ$2:$AZ$18)-ROW($AZ$2)+1)/($AZ$2:$AZ$18=BD3),COUNTIF($BD$2:BD3,BD3))))</f>
        <v>Accountability &amp; Ownership</v>
      </c>
      <c r="BD3" s="97">
        <f t="shared" ref="BD3:BD11" si="1">IF(BB3="","",LARGE($AZ$2:$AZ$18,BB3))</f>
        <v>6.8322981366459631E-2</v>
      </c>
      <c r="BE3" s="89"/>
      <c r="BF3" s="89"/>
      <c r="BG3" s="89"/>
      <c r="BH3" s="89"/>
      <c r="BI3" s="90"/>
      <c r="BM3" s="1">
        <v>3</v>
      </c>
      <c r="BN3" s="1">
        <f>LARGE(_xlfn.UNIQUE(Data_Table[Week]),BM3)</f>
        <v>45</v>
      </c>
      <c r="BO3" s="1" t="str" cm="1">
        <f t="array" aca="1" ref="BO3:BO6" ca="1">Region_List_NoAll</f>
        <v>APAC</v>
      </c>
      <c r="BP3" s="1">
        <f ca="1">IF(BO3="","",COUNTIFS(Data_Table[Attribute Fail Rate],$BL$1,Data_Table[Week],$BN$3,Data_Table[Region],BO3))</f>
        <v>1</v>
      </c>
    </row>
    <row r="4" spans="1:71" x14ac:dyDescent="0.25">
      <c r="A4" s="39"/>
      <c r="B4" s="32" t="s">
        <v>135</v>
      </c>
      <c r="C4" s="59" t="s">
        <v>184</v>
      </c>
      <c r="H4" s="32" t="s">
        <v>135</v>
      </c>
      <c r="I4" s="59" t="s">
        <v>184</v>
      </c>
      <c r="N4" s="32" t="s">
        <v>135</v>
      </c>
      <c r="O4" s="59" t="s">
        <v>184</v>
      </c>
      <c r="T4" s="79">
        <f>T1-(T2/2)</f>
        <v>0.84250000000000003</v>
      </c>
      <c r="X4" s="1" t="str">
        <v>Jun</v>
      </c>
      <c r="Y4" s="40">
        <f>IF(X4="","",COUNTIFS(Data_Table[[#All],[Month]],'Data Preparation'!$X4,Data_Table[[#All],[Attribute Fail Rate]],'Data Preparation'!$AB$1)/COUNTIF(Data_Table[[#All],[Month]],'Data Preparation'!$X4))</f>
        <v>1</v>
      </c>
      <c r="Z4" s="40">
        <f>IF(X4="","",COUNTIFS(Data_Table[[#All],[Month]],'Data Preparation'!$X4,Data_Table[[#All],[Business Critical PF]],'Data Preparation'!$AB$1)/COUNTIF(Data_Table[[#All],[Month]],'Data Preparation'!$X4))</f>
        <v>1</v>
      </c>
      <c r="AA4" s="40">
        <f>IF(X4="","",COUNTIFS(Data_Table[[#All],[Month]],'Data Preparation'!$X4,Data_Table[[#All],[Compliance Critical]],'Data Preparation'!$AB$1)/COUNTIF(Data_Table[[#All],[Month]],'Data Preparation'!$X4))</f>
        <v>1</v>
      </c>
      <c r="AF4" s="1">
        <v>23</v>
      </c>
      <c r="AG4" s="42">
        <f>IF(AF4="","",COUNTIFS(Data_Table[[#All],[Week]],'Data Preparation'!$AF4,Data_Table[[#All],[Attribute Fail Rate]],'Data Preparation'!$AB$1)/COUNTIF(Data_Table[[#All],[Week]],'Data Preparation'!$AF4))</f>
        <v>1</v>
      </c>
      <c r="AH4" s="42">
        <f>IF(AF4="","",COUNTIFS(Data_Table[[#All],[Week]],'Data Preparation'!$AF4,Data_Table[[#All],[Business Critical PF]],'Data Preparation'!$AB$1)/COUNTIF(Data_Table[[#All],[Week]],'Data Preparation'!$AF4))</f>
        <v>1</v>
      </c>
      <c r="AI4" s="42">
        <f>IF(AF4="","",COUNTIFS(Data_Table[[#All],[Week]],'Data Preparation'!$AF4,Data_Table[[#All],[Compliance Critical]],'Data Preparation'!$AB$1)/COUNTIF(Data_Table[[#All],[Week]],'Data Preparation'!$AF4))</f>
        <v>1</v>
      </c>
      <c r="AW4" s="88" t="s">
        <v>115</v>
      </c>
      <c r="AX4" s="1">
        <f>COUNTIFS(Data_Table[Customer Empathy],1,Data_Table[Month],IF($BF$2="All Months","&lt;&gt;"&amp;"",$BF$2),Data_Table[Week],IF($BG$2="All Weeks","&lt;&gt;"&amp;"",$BG$2),Data_Table[Region],IF($BH$2="All Regions","&lt;&gt;"&amp;"",$BH$2),Data_Table[Agent Name],IF($BI$2="All Agents","&lt;&gt;"&amp;"",$BI$2))</f>
        <v>0</v>
      </c>
      <c r="AY4" s="1">
        <f>COUNTIFS(Data_Table[Customer Empathy],"&lt;&gt;"&amp;"",Data_Table[Month],IF($BF$2="All Months","&lt;&gt;"&amp;"",$BF$2),Data_Table[Week],IF($BG$2="All Weeks","&lt;&gt;"&amp;"",$BG$2),Data_Table[Region],IF($BH$2="All Regions","&lt;&gt;"&amp;"",$BH$2),Data_Table[Agent Name],IF($BI$2="All Agents","&lt;&gt;"&amp;"",$BI$2))</f>
        <v>161</v>
      </c>
      <c r="AZ4" s="80">
        <f t="shared" si="0"/>
        <v>0</v>
      </c>
      <c r="BA4" s="83"/>
      <c r="BB4" s="96">
        <f>IF(ROWS(BB$2:BB4)&gt;$BA$3,"",ROWS(BB$2:BB4))</f>
        <v>3</v>
      </c>
      <c r="BC4" s="96" t="str" cm="1">
        <f t="array" ref="BC4">IF(BB4="","",INDEX($AW$2:$AW$18,_xlfn.AGGREGATE(15,6,(ROW($AZ$2:$AZ$18)-ROW($AZ$2)+1)/($AZ$2:$AZ$18=BD4),COUNTIF($BD$2:BD4,BD4))))</f>
        <v>Effective Inquiry</v>
      </c>
      <c r="BD4" s="97">
        <f t="shared" si="1"/>
        <v>1.8633540372670808E-2</v>
      </c>
      <c r="BE4" s="89"/>
      <c r="BF4" s="89"/>
      <c r="BG4" s="89"/>
      <c r="BH4" s="89"/>
      <c r="BI4" s="90"/>
      <c r="BM4" s="1"/>
      <c r="BN4" s="1"/>
      <c r="BO4" s="1" t="str">
        <f ca="1"/>
        <v>EUI</v>
      </c>
      <c r="BQ4" s="1">
        <f ca="1">IF(BO4="","",COUNTIFS(Data_Table[Attribute Fail Rate],$BL$1,Data_Table[Week],$BN$3,Data_Table[Region],BO4))</f>
        <v>3</v>
      </c>
    </row>
    <row r="5" spans="1:71" x14ac:dyDescent="0.25">
      <c r="A5" s="39"/>
      <c r="T5" s="80">
        <f>T2</f>
        <v>1.4999999999999999E-2</v>
      </c>
      <c r="X5" s="1" t="str">
        <v>Jul</v>
      </c>
      <c r="Y5" s="40">
        <f>IF(X5="","",COUNTIFS(Data_Table[[#All],[Month]],'Data Preparation'!$X5,Data_Table[[#All],[Attribute Fail Rate]],'Data Preparation'!$AB$1)/COUNTIF(Data_Table[[#All],[Month]],'Data Preparation'!$X5))</f>
        <v>1</v>
      </c>
      <c r="Z5" s="40">
        <f>IF(X5="","",COUNTIFS(Data_Table[[#All],[Month]],'Data Preparation'!$X5,Data_Table[[#All],[Business Critical PF]],'Data Preparation'!$AB$1)/COUNTIF(Data_Table[[#All],[Month]],'Data Preparation'!$X5))</f>
        <v>1</v>
      </c>
      <c r="AA5" s="40">
        <f>IF(X5="","",COUNTIFS(Data_Table[[#All],[Month]],'Data Preparation'!$X5,Data_Table[[#All],[Compliance Critical]],'Data Preparation'!$AB$1)/COUNTIF(Data_Table[[#All],[Month]],'Data Preparation'!$X5))</f>
        <v>1</v>
      </c>
      <c r="AF5" s="1">
        <v>27</v>
      </c>
      <c r="AG5" s="42">
        <f>IF(AF5="","",COUNTIFS(Data_Table[[#All],[Week]],'Data Preparation'!$AF5,Data_Table[[#All],[Attribute Fail Rate]],'Data Preparation'!$AB$1)/COUNTIF(Data_Table[[#All],[Week]],'Data Preparation'!$AF5))</f>
        <v>1</v>
      </c>
      <c r="AH5" s="42">
        <f>IF(AF5="","",COUNTIFS(Data_Table[[#All],[Week]],'Data Preparation'!$AF5,Data_Table[[#All],[Business Critical PF]],'Data Preparation'!$AB$1)/COUNTIF(Data_Table[[#All],[Week]],'Data Preparation'!$AF5))</f>
        <v>1</v>
      </c>
      <c r="AI5" s="42">
        <f>IF(AF5="","",COUNTIFS(Data_Table[[#All],[Week]],'Data Preparation'!$AF5,Data_Table[[#All],[Compliance Critical]],'Data Preparation'!$AB$1)/COUNTIF(Data_Table[[#All],[Week]],'Data Preparation'!$AF5))</f>
        <v>1</v>
      </c>
      <c r="AP5" s="32" t="s">
        <v>199</v>
      </c>
      <c r="AQ5" s="32" t="s">
        <v>270</v>
      </c>
      <c r="AR5"/>
      <c r="AS5"/>
      <c r="AT5"/>
      <c r="AW5" s="88" t="s">
        <v>114</v>
      </c>
      <c r="AX5" s="1">
        <f>COUNTIFS(Data_Table[Positive Tone],1,Data_Table[Month],IF($BF$2="All Months","&lt;&gt;"&amp;"",$BF$2),Data_Table[Week],IF($BG$2="All Weeks","&lt;&gt;"&amp;"",$BG$2),Data_Table[Region],IF($BH$2="All Regions","&lt;&gt;"&amp;"",$BH$2),Data_Table[Agent Name],IF($BI$2="All Agents","&lt;&gt;"&amp;"",$BI$2))</f>
        <v>1</v>
      </c>
      <c r="AY5" s="1">
        <f>COUNTIFS(Data_Table[Positive Tone],"&lt;&gt;"&amp;"",Data_Table[Month],IF($BF$2="All Months","&lt;&gt;"&amp;"",$BF$2),Data_Table[Week],IF($BG$2="All Weeks","&lt;&gt;"&amp;"",$BG$2),Data_Table[Region],IF($BH$2="All Regions","&lt;&gt;"&amp;"",$BH$2),Data_Table[Agent Name],IF($BI$2="All Agents","&lt;&gt;"&amp;"",$BI$2))</f>
        <v>161</v>
      </c>
      <c r="AZ5" s="80">
        <f t="shared" si="0"/>
        <v>6.2111801242236021E-3</v>
      </c>
      <c r="BA5" s="83"/>
      <c r="BB5" s="96" t="str">
        <f>IF(ROWS(BB$2:BB5)&gt;$BA$3,"",ROWS(BB$2:BB5))</f>
        <v/>
      </c>
      <c r="BC5" s="96" t="str" cm="1">
        <f t="array" ref="BC5">IF(BB5="","",INDEX($AW$2:$AW$18,_xlfn.AGGREGATE(15,6,(ROW($AZ$2:$AZ$18)-ROW($AZ$2)+1)/($AZ$2:$AZ$18=BD5),COUNTIF($BD$2:BD5,BD5))))</f>
        <v/>
      </c>
      <c r="BD5" s="97" t="str">
        <f t="shared" si="1"/>
        <v/>
      </c>
      <c r="BE5" s="89"/>
      <c r="BF5" s="89"/>
      <c r="BG5" s="89"/>
      <c r="BH5" s="89"/>
      <c r="BI5" s="90"/>
      <c r="BM5" s="1"/>
      <c r="BN5" s="1"/>
      <c r="BO5" s="1" t="str">
        <f ca="1"/>
        <v>METAP</v>
      </c>
      <c r="BR5" s="1">
        <f ca="1">IF(BO5="","",COUNTIFS(Data_Table[Attribute Fail Rate],$BL$1,Data_Table[Week],$BN$3,Data_Table[Region],BO5))</f>
        <v>0</v>
      </c>
    </row>
    <row r="6" spans="1:71" x14ac:dyDescent="0.25">
      <c r="A6" s="39"/>
      <c r="B6" s="32" t="s">
        <v>177</v>
      </c>
      <c r="C6" s="22" t="s">
        <v>196</v>
      </c>
      <c r="D6" s="39" t="s">
        <v>182</v>
      </c>
      <c r="E6" s="39">
        <f>IFERROR(GETPIVOTDATA("Attribute Fail Rate PF",$B$5,"Attribute Fail Rate PF","P"),0)</f>
        <v>0.84693877551020413</v>
      </c>
      <c r="F6" s="33"/>
      <c r="G6" s="22"/>
      <c r="H6" s="32" t="s">
        <v>177</v>
      </c>
      <c r="I6" s="22" t="s">
        <v>197</v>
      </c>
      <c r="J6" s="39" t="s">
        <v>182</v>
      </c>
      <c r="K6" s="39">
        <f>GETPIVOTDATA("Business Critical PF",$H$6,"Business Critical PF","P")</f>
        <v>0.83673469387755106</v>
      </c>
      <c r="N6" s="32" t="s">
        <v>177</v>
      </c>
      <c r="O6" s="22" t="s">
        <v>198</v>
      </c>
      <c r="P6" s="39" t="s">
        <v>182</v>
      </c>
      <c r="Q6" s="39">
        <f>IFERROR(GETPIVOTDATA("Compliance Critical PF",$N$5,"Compliance Critical PF","P"),0)</f>
        <v>0.9285714285714286</v>
      </c>
      <c r="R6" s="39"/>
      <c r="S6" s="39"/>
      <c r="T6" s="79">
        <f>1-T4-T5</f>
        <v>0.14249999999999996</v>
      </c>
      <c r="U6" s="39"/>
      <c r="X6" s="1" t="str">
        <v>Aug</v>
      </c>
      <c r="Y6" s="40">
        <f>IF(X6="","",COUNTIFS(Data_Table[[#All],[Month]],'Data Preparation'!$X6,Data_Table[[#All],[Attribute Fail Rate]],'Data Preparation'!$AB$1)/COUNTIF(Data_Table[[#All],[Month]],'Data Preparation'!$X6))</f>
        <v>1</v>
      </c>
      <c r="Z6" s="40">
        <f>IF(X6="","",COUNTIFS(Data_Table[[#All],[Month]],'Data Preparation'!$X6,Data_Table[[#All],[Business Critical PF]],'Data Preparation'!$AB$1)/COUNTIF(Data_Table[[#All],[Month]],'Data Preparation'!$X6))</f>
        <v>1</v>
      </c>
      <c r="AA6" s="40">
        <f>IF(X6="","",COUNTIFS(Data_Table[[#All],[Month]],'Data Preparation'!$X6,Data_Table[[#All],[Compliance Critical]],'Data Preparation'!$AB$1)/COUNTIF(Data_Table[[#All],[Month]],'Data Preparation'!$X6))</f>
        <v>1</v>
      </c>
      <c r="AF6" s="1">
        <v>32</v>
      </c>
      <c r="AG6" s="42">
        <f>IF(AF6="","",COUNTIFS(Data_Table[[#All],[Week]],'Data Preparation'!$AF6,Data_Table[[#All],[Attribute Fail Rate]],'Data Preparation'!$AB$1)/COUNTIF(Data_Table[[#All],[Week]],'Data Preparation'!$AF6))</f>
        <v>1</v>
      </c>
      <c r="AH6" s="42">
        <f>IF(AF6="","",COUNTIFS(Data_Table[[#All],[Week]],'Data Preparation'!$AF6,Data_Table[[#All],[Business Critical PF]],'Data Preparation'!$AB$1)/COUNTIF(Data_Table[[#All],[Week]],'Data Preparation'!$AF6))</f>
        <v>1</v>
      </c>
      <c r="AI6" s="42">
        <f>IF(AF6="","",COUNTIFS(Data_Table[[#All],[Week]],'Data Preparation'!$AF6,Data_Table[[#All],[Compliance Critical]],'Data Preparation'!$AB$1)/COUNTIF(Data_Table[[#All],[Week]],'Data Preparation'!$AF6))</f>
        <v>1</v>
      </c>
      <c r="AP6" s="32" t="s">
        <v>177</v>
      </c>
      <c r="AQ6" s="25" t="s">
        <v>8</v>
      </c>
      <c r="AR6" s="25" t="s">
        <v>1</v>
      </c>
      <c r="AS6" s="25" t="s">
        <v>4</v>
      </c>
      <c r="AT6" s="25" t="s">
        <v>6</v>
      </c>
      <c r="AW6" s="88" t="s">
        <v>116</v>
      </c>
      <c r="AX6" s="1">
        <f>COUNTIFS(Data_Table[Understand the Issue],1,Data_Table[Month],IF($BF$2="All Months","&lt;&gt;"&amp;"",$BF$2),Data_Table[Week],IF($BG$2="All Weeks","&lt;&gt;"&amp;"",$BG$2),Data_Table[Region],IF($BH$2="All Regions","&lt;&gt;"&amp;"",$BH$2),Data_Table[Agent Name],IF($BI$2="All Agents","&lt;&gt;"&amp;"",$BI$2))</f>
        <v>0</v>
      </c>
      <c r="AY6" s="1">
        <f>COUNTIFS(Data_Table[Understand the Issue],"&lt;&gt;"&amp;"",Data_Table[Month],IF($BF$2="All Months","&lt;&gt;"&amp;"",$BF$2),Data_Table[Week],IF($BG$2="All Weeks","&lt;&gt;"&amp;"",$BG$2),Data_Table[Region],IF($BH$2="All Regions","&lt;&gt;"&amp;"",$BH$2),Data_Table[Agent Name],IF($BI$2="All Agents","&lt;&gt;"&amp;"",$BI$2))</f>
        <v>161</v>
      </c>
      <c r="AZ6" s="80">
        <f t="shared" si="0"/>
        <v>0</v>
      </c>
      <c r="BA6" s="83"/>
      <c r="BB6" s="96" t="str">
        <f>IF(ROWS(BB$2:BB6)&gt;$BA$3,"",ROWS(BB$2:BB6))</f>
        <v/>
      </c>
      <c r="BC6" s="96" t="str" cm="1">
        <f t="array" ref="BC6">IF(BB6="","",INDEX($AW$2:$AW$18,_xlfn.AGGREGATE(15,6,(ROW($AZ$2:$AZ$18)-ROW($AZ$2)+1)/($AZ$2:$AZ$18=BD6),COUNTIF($BD$2:BD6,BD6))))</f>
        <v/>
      </c>
      <c r="BD6" s="97" t="str">
        <f t="shared" si="1"/>
        <v/>
      </c>
      <c r="BE6" s="89"/>
      <c r="BF6" s="89"/>
      <c r="BG6" s="89"/>
      <c r="BH6" s="89"/>
      <c r="BI6" s="90"/>
      <c r="BM6" s="1"/>
      <c r="BN6" s="1"/>
      <c r="BO6" s="1" t="str">
        <f ca="1"/>
        <v xml:space="preserve">NA </v>
      </c>
      <c r="BS6" s="1">
        <f ca="1">IF(BO6="","",COUNTIFS(Data_Table[Attribute Fail Rate],$BL$1,Data_Table[Week],$BN$3,Data_Table[Region],BO6))</f>
        <v>14</v>
      </c>
    </row>
    <row r="7" spans="1:71" x14ac:dyDescent="0.25">
      <c r="A7" s="39"/>
      <c r="B7" s="38" t="s">
        <v>182</v>
      </c>
      <c r="C7" s="39">
        <v>0.84693877551020413</v>
      </c>
      <c r="D7" s="39" t="s">
        <v>183</v>
      </c>
      <c r="E7" s="39">
        <f>IFERROR(GETPIVOTDATA("Attribute Fail Rate PF",$B$5,"Attribute Fail Rate PF","F"),0)</f>
        <v>0.15306122448979592</v>
      </c>
      <c r="F7" s="33"/>
      <c r="G7" s="22"/>
      <c r="H7" s="38" t="s">
        <v>182</v>
      </c>
      <c r="I7" s="39">
        <v>0.83673469387755106</v>
      </c>
      <c r="J7" s="39" t="s">
        <v>183</v>
      </c>
      <c r="K7" s="39">
        <f>GETPIVOTDATA("Business Critical PF",$H$6,"Business Critical PF","F")</f>
        <v>0.16326530612244897</v>
      </c>
      <c r="L7" s="33"/>
      <c r="N7" s="38" t="s">
        <v>182</v>
      </c>
      <c r="O7" s="39">
        <v>0.9285714285714286</v>
      </c>
      <c r="P7" s="39" t="s">
        <v>183</v>
      </c>
      <c r="Q7" s="39">
        <f>IFERROR(GETPIVOTDATA("Compliance Critical PF",$N$5,"Compliance Critical PF","F"),0)</f>
        <v>7.1428571428571425E-2</v>
      </c>
      <c r="R7" s="39"/>
      <c r="S7" s="39"/>
      <c r="T7" s="39"/>
      <c r="U7" s="39"/>
      <c r="X7" s="1" t="str">
        <v>Sep</v>
      </c>
      <c r="Y7" s="40">
        <f>IF(X7="","",COUNTIFS(Data_Table[[#All],[Month]],'Data Preparation'!$X7,Data_Table[[#All],[Attribute Fail Rate]],'Data Preparation'!$AB$1)/COUNTIF(Data_Table[[#All],[Month]],'Data Preparation'!$X7))</f>
        <v>1</v>
      </c>
      <c r="Z7" s="40">
        <f>IF(X7="","",COUNTIFS(Data_Table[[#All],[Month]],'Data Preparation'!$X7,Data_Table[[#All],[Business Critical PF]],'Data Preparation'!$AB$1)/COUNTIF(Data_Table[[#All],[Month]],'Data Preparation'!$X7))</f>
        <v>1</v>
      </c>
      <c r="AA7" s="40">
        <f>IF(X7="","",COUNTIFS(Data_Table[[#All],[Month]],'Data Preparation'!$X7,Data_Table[[#All],[Compliance Critical]],'Data Preparation'!$AB$1)/COUNTIF(Data_Table[[#All],[Month]],'Data Preparation'!$X7))</f>
        <v>1</v>
      </c>
      <c r="AF7" s="1">
        <v>36</v>
      </c>
      <c r="AG7" s="42">
        <f>IF(AF7="","",COUNTIFS(Data_Table[[#All],[Week]],'Data Preparation'!$AF7,Data_Table[[#All],[Attribute Fail Rate]],'Data Preparation'!$AB$1)/COUNTIF(Data_Table[[#All],[Week]],'Data Preparation'!$AF7))</f>
        <v>1</v>
      </c>
      <c r="AH7" s="42">
        <f>IF(AF7="","",COUNTIFS(Data_Table[[#All],[Week]],'Data Preparation'!$AF7,Data_Table[[#All],[Business Critical PF]],'Data Preparation'!$AB$1)/COUNTIF(Data_Table[[#All],[Week]],'Data Preparation'!$AF7))</f>
        <v>1</v>
      </c>
      <c r="AI7" s="42">
        <f>IF(AF7="","",COUNTIFS(Data_Table[[#All],[Week]],'Data Preparation'!$AF7,Data_Table[[#All],[Compliance Critical]],'Data Preparation'!$AB$1)/COUNTIF(Data_Table[[#All],[Week]],'Data Preparation'!$AF7))</f>
        <v>1</v>
      </c>
      <c r="AP7" s="38">
        <v>48</v>
      </c>
      <c r="AQ7" s="28"/>
      <c r="AR7" s="28"/>
      <c r="AS7" s="28"/>
      <c r="AT7" s="28">
        <v>1</v>
      </c>
      <c r="AW7" s="88" t="s">
        <v>117</v>
      </c>
      <c r="AX7" s="1">
        <f>COUNTIFS(Data_Table[Accountability &amp; Ownership],1,Data_Table[Month],IF($BF$2="All Months","&lt;&gt;"&amp;"",$BF$2),Data_Table[Week],IF($BG$2="All Weeks","&lt;&gt;"&amp;"",$BG$2),Data_Table[Region],IF($BH$2="All Regions","&lt;&gt;"&amp;"",$BH$2),Data_Table[Agent Name],IF($BI$2="All Agents","&lt;&gt;"&amp;"",$BI$2))</f>
        <v>11</v>
      </c>
      <c r="AY7" s="1">
        <f>COUNTIFS(Data_Table[Accountability &amp; Ownership],"&lt;&gt;"&amp;"",Data_Table[Month],IF($BF$2="All Months","&lt;&gt;"&amp;"",$BF$2),Data_Table[Week],IF($BG$2="All Weeks","&lt;&gt;"&amp;"",$BG$2),Data_Table[Region],IF($BH$2="All Regions","&lt;&gt;"&amp;"",$BH$2),Data_Table[Agent Name],IF($BI$2="All Agents","&lt;&gt;"&amp;"",$BI$2))</f>
        <v>161</v>
      </c>
      <c r="AZ7" s="80">
        <f t="shared" si="0"/>
        <v>6.8322981366459631E-2</v>
      </c>
      <c r="BA7" s="83"/>
      <c r="BB7" s="96" t="str">
        <f>IF(ROWS(BB$2:BB7)&gt;$BA$3,"",ROWS(BB$2:BB7))</f>
        <v/>
      </c>
      <c r="BC7" s="96" t="str" cm="1">
        <f t="array" ref="BC7">IF(BB7="","",INDEX($AW$2:$AW$18,_xlfn.AGGREGATE(15,6,(ROW($AZ$2:$AZ$18)-ROW($AZ$2)+1)/($AZ$2:$AZ$18=BD7),COUNTIF($BD$2:BD7,BD7))))</f>
        <v/>
      </c>
      <c r="BD7" s="97" t="str">
        <f t="shared" si="1"/>
        <v/>
      </c>
      <c r="BE7" s="89"/>
      <c r="BF7" s="89"/>
      <c r="BG7" s="89"/>
      <c r="BH7" s="89"/>
      <c r="BI7" s="90"/>
      <c r="BM7" s="1"/>
      <c r="BN7" s="1" t="s">
        <v>272</v>
      </c>
      <c r="BO7" s="1"/>
      <c r="BP7" s="107"/>
    </row>
    <row r="8" spans="1:71" x14ac:dyDescent="0.25">
      <c r="B8" s="38" t="s">
        <v>183</v>
      </c>
      <c r="C8" s="39">
        <v>0.15306122448979592</v>
      </c>
      <c r="G8" s="22"/>
      <c r="H8" s="38" t="s">
        <v>183</v>
      </c>
      <c r="I8" s="39">
        <v>0.16326530612244897</v>
      </c>
      <c r="L8" s="33"/>
      <c r="N8" s="38" t="s">
        <v>183</v>
      </c>
      <c r="O8" s="39">
        <v>7.1428571428571425E-2</v>
      </c>
      <c r="X8" s="1" t="str">
        <v>Oct</v>
      </c>
      <c r="Y8" s="40">
        <f>IF(X8="","",COUNTIFS(Data_Table[[#All],[Month]],'Data Preparation'!$X8,Data_Table[[#All],[Attribute Fail Rate]],'Data Preparation'!$AB$1)/COUNTIF(Data_Table[[#All],[Month]],'Data Preparation'!$X8))</f>
        <v>0.15873015873015872</v>
      </c>
      <c r="Z8" s="40">
        <f>IF(X8="","",COUNTIFS(Data_Table[[#All],[Month]],'Data Preparation'!$X8,Data_Table[[#All],[Business Critical PF]],'Data Preparation'!$AB$1)/COUNTIF(Data_Table[[#All],[Month]],'Data Preparation'!$X8))</f>
        <v>0.12698412698412698</v>
      </c>
      <c r="AA8" s="40">
        <f>IF(X8="","",COUNTIFS(Data_Table[[#All],[Month]],'Data Preparation'!$X8,Data_Table[[#All],[Compliance Critical]],'Data Preparation'!$AB$1)/COUNTIF(Data_Table[[#All],[Month]],'Data Preparation'!$X8))</f>
        <v>7.9365079365079361E-2</v>
      </c>
      <c r="AF8" s="1">
        <v>44</v>
      </c>
      <c r="AG8" s="42">
        <f>IF(AF8="","",COUNTIFS(Data_Table[[#All],[Week]],'Data Preparation'!$AF8,Data_Table[[#All],[Attribute Fail Rate]],'Data Preparation'!$AB$1)/COUNTIF(Data_Table[[#All],[Week]],'Data Preparation'!$AF8))</f>
        <v>0.16666666666666666</v>
      </c>
      <c r="AH8" s="42">
        <f>IF(AF8="","",COUNTIFS(Data_Table[[#All],[Week]],'Data Preparation'!$AF8,Data_Table[[#All],[Business Critical PF]],'Data Preparation'!$AB$1)/COUNTIF(Data_Table[[#All],[Week]],'Data Preparation'!$AF8))</f>
        <v>0.12962962962962962</v>
      </c>
      <c r="AI8" s="42">
        <f>IF(AF8="","",COUNTIFS(Data_Table[[#All],[Week]],'Data Preparation'!$AF8,Data_Table[[#All],[Compliance Critical]],'Data Preparation'!$AB$1)/COUNTIF(Data_Table[[#All],[Week]],'Data Preparation'!$AF8))</f>
        <v>9.2592592592592587E-2</v>
      </c>
      <c r="AP8" s="38">
        <v>46</v>
      </c>
      <c r="AQ8" s="28">
        <v>2</v>
      </c>
      <c r="AR8" s="28">
        <v>3</v>
      </c>
      <c r="AS8" s="28">
        <v>1</v>
      </c>
      <c r="AT8" s="28">
        <v>9</v>
      </c>
      <c r="AW8" s="88" t="s">
        <v>118</v>
      </c>
      <c r="AX8" s="1">
        <f>COUNTIFS(Data_Table[First Response Timeline],1,Data_Table[Month],IF($BF$2="All Months","&lt;&gt;"&amp;"",$BF$2),Data_Table[Week],IF($BG$2="All Weeks","&lt;&gt;"&amp;"",$BG$2),Data_Table[Region],IF($BH$2="All Regions","&lt;&gt;"&amp;"",$BH$2),Data_Table[Agent Name],IF($BI$2="All Agents","&lt;&gt;"&amp;"",$BI$2))</f>
        <v>0</v>
      </c>
      <c r="AY8" s="1">
        <f>COUNTIFS(Data_Table[First Response Timeline],"&lt;&gt;"&amp;"",Data_Table[Month],IF($BF$2="All Months","&lt;&gt;"&amp;"",$BF$2),Data_Table[Week],IF($BG$2="All Weeks","&lt;&gt;"&amp;"",$BG$2),Data_Table[Region],IF($BH$2="All Regions","&lt;&gt;"&amp;"",$BH$2),Data_Table[Agent Name],IF($BI$2="All Agents","&lt;&gt;"&amp;"",$BI$2))</f>
        <v>161</v>
      </c>
      <c r="AZ8" s="80">
        <f t="shared" si="0"/>
        <v>0</v>
      </c>
      <c r="BA8" s="83"/>
      <c r="BB8" s="96" t="str">
        <f>IF(ROWS(BB$2:BB8)&gt;$BA$3,"",ROWS(BB$2:BB8))</f>
        <v/>
      </c>
      <c r="BC8" s="96" t="str" cm="1">
        <f t="array" ref="BC8">IF(BB8="","",INDEX($AW$2:$AW$18,_xlfn.AGGREGATE(15,6,(ROW($AZ$2:$AZ$18)-ROW($AZ$2)+1)/($AZ$2:$AZ$18=BD8),COUNTIF($BD$2:BD8,BD8))))</f>
        <v/>
      </c>
      <c r="BD8" s="97" t="str">
        <f t="shared" si="1"/>
        <v/>
      </c>
      <c r="BE8" s="89"/>
      <c r="BF8" s="89"/>
      <c r="BG8" s="89"/>
      <c r="BH8" s="89"/>
      <c r="BI8" s="90"/>
      <c r="BM8" s="1">
        <v>2</v>
      </c>
      <c r="BN8" s="1">
        <f>LARGE(_xlfn.UNIQUE(Data_Table[Week]),BM8)</f>
        <v>46</v>
      </c>
      <c r="BO8" s="1" t="str" cm="1">
        <f t="array" aca="1" ref="BO8:BO11" ca="1">Region_List_NoAll</f>
        <v>APAC</v>
      </c>
      <c r="BP8" s="1">
        <f ca="1">IF(BO8="","",COUNTIFS(Data_Table[Attribute Fail Rate],$BL$1,Data_Table[Week],$BN$8,Data_Table[Region],BO8))</f>
        <v>2</v>
      </c>
    </row>
    <row r="9" spans="1:71" x14ac:dyDescent="0.25">
      <c r="B9" s="38" t="s">
        <v>178</v>
      </c>
      <c r="C9" s="39">
        <v>1</v>
      </c>
      <c r="H9" s="38" t="s">
        <v>178</v>
      </c>
      <c r="I9" s="39">
        <v>1</v>
      </c>
      <c r="N9" s="38" t="s">
        <v>178</v>
      </c>
      <c r="O9" s="39">
        <v>1</v>
      </c>
      <c r="X9" s="1" t="str">
        <v>Nov</v>
      </c>
      <c r="Y9" s="40">
        <f>IF(X9="","",COUNTIFS(Data_Table[[#All],[Month]],'Data Preparation'!$X9,Data_Table[[#All],[Attribute Fail Rate]],'Data Preparation'!$AB$1)/COUNTIF(Data_Table[[#All],[Month]],'Data Preparation'!$X9))</f>
        <v>0.15306122448979592</v>
      </c>
      <c r="Z9" s="40">
        <f>IF(X9="","",COUNTIFS(Data_Table[[#All],[Month]],'Data Preparation'!$X9,Data_Table[[#All],[Business Critical PF]],'Data Preparation'!$AB$1)/COUNTIF(Data_Table[[#All],[Month]],'Data Preparation'!$X9))</f>
        <v>0.16326530612244897</v>
      </c>
      <c r="AA9" s="40">
        <f>IF(X9="","",COUNTIFS(Data_Table[[#All],[Month]],'Data Preparation'!$X9,Data_Table[[#All],[Compliance Critical]],'Data Preparation'!$AB$1)/COUNTIF(Data_Table[[#All],[Month]],'Data Preparation'!$X9))</f>
        <v>7.1428571428571425E-2</v>
      </c>
      <c r="AF9" s="1">
        <v>45</v>
      </c>
      <c r="AG9" s="42">
        <f>IF(AF9="","",COUNTIFS(Data_Table[[#All],[Week]],'Data Preparation'!$AF9,Data_Table[[#All],[Attribute Fail Rate]],'Data Preparation'!$AB$1)/COUNTIF(Data_Table[[#All],[Week]],'Data Preparation'!$AF9))</f>
        <v>0.16981132075471697</v>
      </c>
      <c r="AH9" s="42">
        <f>IF(AF9="","",COUNTIFS(Data_Table[[#All],[Week]],'Data Preparation'!$AF9,Data_Table[[#All],[Business Critical PF]],'Data Preparation'!$AB$1)/COUNTIF(Data_Table[[#All],[Week]],'Data Preparation'!$AF9))</f>
        <v>0.16981132075471697</v>
      </c>
      <c r="AI9" s="42">
        <f>IF(AF9="","",COUNTIFS(Data_Table[[#All],[Week]],'Data Preparation'!$AF9,Data_Table[[#All],[Compliance Critical]],'Data Preparation'!$AB$1)/COUNTIF(Data_Table[[#All],[Week]],'Data Preparation'!$AF9))</f>
        <v>5.6603773584905662E-2</v>
      </c>
      <c r="AP9" s="38">
        <v>45</v>
      </c>
      <c r="AQ9" s="28">
        <v>1</v>
      </c>
      <c r="AR9" s="28">
        <v>3</v>
      </c>
      <c r="AS9" s="28"/>
      <c r="AT9" s="28">
        <v>14</v>
      </c>
      <c r="AW9" s="88" t="s">
        <v>119</v>
      </c>
      <c r="AX9" s="1">
        <f>COUNTIFS(Data_Table[Quality of First Response],1,Data_Table[Month],IF($BF$2="All Months","&lt;&gt;"&amp;"",$BF$2),Data_Table[Week],IF($BG$2="All Weeks","&lt;&gt;"&amp;"",$BG$2),Data_Table[Region],IF($BH$2="All Regions","&lt;&gt;"&amp;"",$BH$2),Data_Table[Agent Name],IF($BI$2="All Agents","&lt;&gt;"&amp;"",$BI$2))</f>
        <v>0</v>
      </c>
      <c r="AY9" s="1">
        <f>COUNTIFS(Data_Table[Quality of First Response],"&lt;&gt;"&amp;"",Data_Table[Month],IF($BF$2="All Months","&lt;&gt;"&amp;"",$BF$2),Data_Table[Week],IF($BG$2="All Weeks","&lt;&gt;"&amp;"",$BG$2),Data_Table[Region],IF($BH$2="All Regions","&lt;&gt;"&amp;"",$BH$2),Data_Table[Agent Name],IF($BI$2="All Agents","&lt;&gt;"&amp;"",$BI$2))</f>
        <v>161</v>
      </c>
      <c r="AZ9" s="80">
        <f t="shared" si="0"/>
        <v>0</v>
      </c>
      <c r="BA9" s="83"/>
      <c r="BB9" s="96" t="str">
        <f>IF(ROWS(BB$2:BB9)&gt;$BA$3,"",ROWS(BB$2:BB9))</f>
        <v/>
      </c>
      <c r="BC9" s="96" t="str" cm="1">
        <f t="array" ref="BC9">IF(BB9="","",INDEX($AW$2:$AW$18,_xlfn.AGGREGATE(15,6,(ROW($AZ$2:$AZ$18)-ROW($AZ$2)+1)/($AZ$2:$AZ$18=BD9),COUNTIF($BD$2:BD9,BD9))))</f>
        <v/>
      </c>
      <c r="BD9" s="97" t="str">
        <f t="shared" si="1"/>
        <v/>
      </c>
      <c r="BE9" s="89"/>
      <c r="BF9" s="89"/>
      <c r="BG9" s="89"/>
      <c r="BH9" s="89"/>
      <c r="BI9" s="90"/>
      <c r="BM9" s="1"/>
      <c r="BN9" s="1"/>
      <c r="BO9" s="1" t="str">
        <f ca="1"/>
        <v>EUI</v>
      </c>
      <c r="BQ9" s="1">
        <f ca="1">IF(BO9="","",COUNTIFS(Data_Table[Attribute Fail Rate],$BL$1,Data_Table[Week],$BN$8,Data_Table[Region],BO9))</f>
        <v>3</v>
      </c>
    </row>
    <row r="10" spans="1:71" x14ac:dyDescent="0.25">
      <c r="X10" s="1"/>
      <c r="Y10" s="40" t="str">
        <f>IF(X10="","",COUNTIFS(Data_Table[[#All],[Month]],'Data Preparation'!$X10,Data_Table[[#All],[Attribute Fail Rate]],'Data Preparation'!$AB$1)/COUNTIF(Data_Table[[#All],[Month]],'Data Preparation'!$X10))</f>
        <v/>
      </c>
      <c r="Z10" s="40" t="str">
        <f>IF(X10="","",COUNTIFS(Data_Table[[#All],[Month]],'Data Preparation'!$X10,Data_Table[[#All],[Business Critical PF]],'Data Preparation'!$AB$1)/COUNTIF(Data_Table[[#All],[Month]],'Data Preparation'!$X10))</f>
        <v/>
      </c>
      <c r="AA10" s="40" t="str">
        <f>IF(X10="","",COUNTIFS(Data_Table[[#All],[Month]],'Data Preparation'!$X10,Data_Table[[#All],[Compliance Critical]],'Data Preparation'!$AB$1)/COUNTIF(Data_Table[[#All],[Month]],'Data Preparation'!$X10))</f>
        <v/>
      </c>
      <c r="AF10" s="1">
        <v>46</v>
      </c>
      <c r="AG10" s="42">
        <f>IF(AF10="","",COUNTIFS(Data_Table[[#All],[Week]],'Data Preparation'!$AF10,Data_Table[[#All],[Attribute Fail Rate]],'Data Preparation'!$AB$1)/COUNTIF(Data_Table[[#All],[Week]],'Data Preparation'!$AF10))</f>
        <v>0.13207547169811321</v>
      </c>
      <c r="AH10" s="42">
        <f>IF(AF10="","",COUNTIFS(Data_Table[[#All],[Week]],'Data Preparation'!$AF10,Data_Table[[#All],[Business Critical PF]],'Data Preparation'!$AB$1)/COUNTIF(Data_Table[[#All],[Week]],'Data Preparation'!$AF10))</f>
        <v>0.15094339622641509</v>
      </c>
      <c r="AI10" s="42">
        <f>IF(AF10="","",COUNTIFS(Data_Table[[#All],[Week]],'Data Preparation'!$AF10,Data_Table[[#All],[Compliance Critical]],'Data Preparation'!$AB$1)/COUNTIF(Data_Table[[#All],[Week]],'Data Preparation'!$AF10))</f>
        <v>7.5471698113207544E-2</v>
      </c>
      <c r="AR10"/>
      <c r="AS10"/>
      <c r="AT10"/>
      <c r="AW10" s="88" t="s">
        <v>120</v>
      </c>
      <c r="AX10" s="1">
        <f>COUNTIFS(Data_Table[Priority Level],1,Data_Table[Month],IF($BF$2="All Months","&lt;&gt;"&amp;"",$BF$2),Data_Table[Week],IF($BG$2="All Weeks","&lt;&gt;"&amp;"",$BG$2),Data_Table[Region],IF($BH$2="All Regions","&lt;&gt;"&amp;"",$BH$2),Data_Table[Agent Name],IF($BI$2="All Agents","&lt;&gt;"&amp;"",$BI$2))</f>
        <v>1</v>
      </c>
      <c r="AY10" s="1">
        <f>COUNTIFS(Data_Table[Priority Level],"&lt;&gt;"&amp;"",Data_Table[Month],IF($BF$2="All Months","&lt;&gt;"&amp;"",$BF$2),Data_Table[Week],IF($BG$2="All Weeks","&lt;&gt;"&amp;"",$BG$2),Data_Table[Region],IF($BH$2="All Regions","&lt;&gt;"&amp;"",$BH$2),Data_Table[Agent Name],IF($BI$2="All Agents","&lt;&gt;"&amp;"",$BI$2))</f>
        <v>161</v>
      </c>
      <c r="AZ10" s="80">
        <f t="shared" si="0"/>
        <v>6.2111801242236021E-3</v>
      </c>
      <c r="BA10" s="83"/>
      <c r="BB10" s="96" t="str">
        <f>IF(ROWS(BB$2:BB10)&gt;$BA$3,"",ROWS(BB$2:BB10))</f>
        <v/>
      </c>
      <c r="BC10" s="96" t="str" cm="1">
        <f t="array" ref="BC10">IF(BB10="","",INDEX($AW$2:$AW$18,_xlfn.AGGREGATE(15,6,(ROW($AZ$2:$AZ$18)-ROW($AZ$2)+1)/($AZ$2:$AZ$18=BD10),COUNTIF($BD$2:BD10,BD10))))</f>
        <v/>
      </c>
      <c r="BD10" s="97" t="str">
        <f t="shared" si="1"/>
        <v/>
      </c>
      <c r="BE10" s="89"/>
      <c r="BF10" s="89"/>
      <c r="BG10" s="89"/>
      <c r="BH10" s="89"/>
      <c r="BI10" s="90"/>
      <c r="BL10" s="59"/>
      <c r="BM10" s="1"/>
      <c r="BN10" s="1"/>
      <c r="BO10" s="1" t="str">
        <f ca="1"/>
        <v>METAP</v>
      </c>
      <c r="BR10" s="1">
        <f ca="1">IF(BO10="","",COUNTIFS(Data_Table[Attribute Fail Rate],$BL$1,Data_Table[Week],$BN$8,Data_Table[Region],BO10))</f>
        <v>1</v>
      </c>
    </row>
    <row r="11" spans="1:71" x14ac:dyDescent="0.25">
      <c r="X11" s="1"/>
      <c r="Y11" s="40" t="str">
        <f>IF(X11="","",COUNTIFS(Data_Table[[#All],[Month]],'Data Preparation'!$X11,Data_Table[[#All],[Attribute Fail Rate]],'Data Preparation'!$AB$1)/COUNTIF(Data_Table[[#All],[Month]],'Data Preparation'!$X11))</f>
        <v/>
      </c>
      <c r="Z11" s="40" t="str">
        <f>IF(X11="","",COUNTIFS(Data_Table[[#All],[Month]],'Data Preparation'!$X11,Data_Table[[#All],[Business Critical PF]],'Data Preparation'!$AB$1)/COUNTIF(Data_Table[[#All],[Month]],'Data Preparation'!$X11))</f>
        <v/>
      </c>
      <c r="AA11" s="40" t="str">
        <f>IF(X11="","",COUNTIFS(Data_Table[[#All],[Month]],'Data Preparation'!$X11,Data_Table[[#All],[Compliance Critical]],'Data Preparation'!$AB$1)/COUNTIF(Data_Table[[#All],[Month]],'Data Preparation'!$X11))</f>
        <v/>
      </c>
      <c r="AF11" s="1">
        <v>48</v>
      </c>
      <c r="AG11" s="42">
        <f>IF(AF11="","",COUNTIFS(Data_Table[[#All],[Week]],'Data Preparation'!$AF11,Data_Table[[#All],[Attribute Fail Rate]],'Data Preparation'!$AB$1)/COUNTIF(Data_Table[[#All],[Week]],'Data Preparation'!$AF11))</f>
        <v>0</v>
      </c>
      <c r="AH11" s="42">
        <f>IF(AF11="","",COUNTIFS(Data_Table[[#All],[Week]],'Data Preparation'!$AF11,Data_Table[[#All],[Business Critical PF]],'Data Preparation'!$AB$1)/COUNTIF(Data_Table[[#All],[Week]],'Data Preparation'!$AF11))</f>
        <v>0</v>
      </c>
      <c r="AI11" s="42">
        <f>IF(AF11="","",COUNTIFS(Data_Table[[#All],[Week]],'Data Preparation'!$AF11,Data_Table[[#All],[Compliance Critical]],'Data Preparation'!$AB$1)/COUNTIF(Data_Table[[#All],[Week]],'Data Preparation'!$AF11))</f>
        <v>0</v>
      </c>
      <c r="AR11"/>
      <c r="AS11"/>
      <c r="AT11"/>
      <c r="AW11" s="88" t="s">
        <v>121</v>
      </c>
      <c r="AX11" s="1">
        <f>COUNTIFS(Data_Table[Ticket Type],1,Data_Table[Month],IF($BF$2="All Months","&lt;&gt;"&amp;"",$BF$2),Data_Table[Week],IF($BG$2="All Weeks","&lt;&gt;"&amp;"",$BG$2),Data_Table[Region],IF($BH$2="All Regions","&lt;&gt;"&amp;"",$BH$2),Data_Table[Agent Name],IF($BI$2="All Agents","&lt;&gt;"&amp;"",$BI$2))</f>
        <v>0</v>
      </c>
      <c r="AY11" s="1">
        <f>COUNTIFS(Data_Table[Ticket Type],"&lt;&gt;"&amp;"",Data_Table[Month],IF($BF$2="All Months","&lt;&gt;"&amp;"",$BF$2),Data_Table[Week],IF($BG$2="All Weeks","&lt;&gt;"&amp;"",$BG$2),Data_Table[Region],IF($BH$2="All Regions","&lt;&gt;"&amp;"",$BH$2),Data_Table[Agent Name],IF($BI$2="All Agents","&lt;&gt;"&amp;"",$BI$2))</f>
        <v>161</v>
      </c>
      <c r="AZ11" s="80">
        <f t="shared" si="0"/>
        <v>0</v>
      </c>
      <c r="BA11" s="83"/>
      <c r="BB11" s="96" t="str">
        <f>IF(ROWS(BB$2:BB11)&gt;$BA$3,"",ROWS(BB$2:BB11))</f>
        <v/>
      </c>
      <c r="BC11" s="96" t="str" cm="1">
        <f t="array" ref="BC11">IF(BB11="","",INDEX($AW$2:$AW$18,_xlfn.AGGREGATE(15,6,(ROW($AZ$2:$AZ$18)-ROW($AZ$2)+1)/($AZ$2:$AZ$18=BD11),COUNTIF($BD$2:BD11,BD11))))</f>
        <v/>
      </c>
      <c r="BD11" s="97" t="str">
        <f t="shared" si="1"/>
        <v/>
      </c>
      <c r="BE11" s="89"/>
      <c r="BF11" s="89"/>
      <c r="BG11" s="89"/>
      <c r="BH11" s="89"/>
      <c r="BI11" s="90"/>
      <c r="BM11" s="1"/>
      <c r="BN11" s="1"/>
      <c r="BO11" s="1" t="str">
        <f ca="1"/>
        <v xml:space="preserve">NA </v>
      </c>
      <c r="BS11" s="1">
        <f ca="1">IF(BO11="","",COUNTIFS(Data_Table[Attribute Fail Rate],$BL$1,Data_Table[Week],$BN$8,Data_Table[Region],BO11))</f>
        <v>9</v>
      </c>
    </row>
    <row r="12" spans="1:71" x14ac:dyDescent="0.25">
      <c r="X12" s="1"/>
      <c r="Y12" s="40" t="str">
        <f>IF(X12="","",COUNTIFS(Data_Table[[#All],[Month]],'Data Preparation'!$X12,Data_Table[[#All],[Attribute Fail Rate]],'Data Preparation'!$AB$1)/COUNTIF(Data_Table[[#All],[Month]],'Data Preparation'!$X12))</f>
        <v/>
      </c>
      <c r="Z12" s="40" t="str">
        <f>IF(X12="","",COUNTIFS(Data_Table[[#All],[Month]],'Data Preparation'!$X12,Data_Table[[#All],[Business Critical PF]],'Data Preparation'!$AB$1)/COUNTIF(Data_Table[[#All],[Month]],'Data Preparation'!$X12))</f>
        <v/>
      </c>
      <c r="AA12" s="40" t="str">
        <f>IF(X12="","",COUNTIFS(Data_Table[[#All],[Month]],'Data Preparation'!$X12,Data_Table[[#All],[Compliance Critical]],'Data Preparation'!$AB$1)/COUNTIF(Data_Table[[#All],[Month]],'Data Preparation'!$X12))</f>
        <v/>
      </c>
      <c r="AF12" s="1"/>
      <c r="AG12" s="42" t="str">
        <f>IF(AF12="","",COUNTIFS(Data_Table[[#All],[Week]],'Data Preparation'!$AF12,Data_Table[[#All],[Attribute Fail Rate]],'Data Preparation'!$AB$1)/COUNTIF(Data_Table[[#All],[Week]],'Data Preparation'!$AF12))</f>
        <v/>
      </c>
      <c r="AH12" s="42" t="str">
        <f>IF(AF12="","",COUNTIFS(Data_Table[[#All],[Week]],'Data Preparation'!$AF12,Data_Table[[#All],[Business Critical PF]],'Data Preparation'!$AB$1)/COUNTIF(Data_Table[[#All],[Week]],'Data Preparation'!$AF12))</f>
        <v/>
      </c>
      <c r="AI12" s="42" t="str">
        <f>IF(AF12="","",COUNTIFS(Data_Table[[#All],[Week]],'Data Preparation'!$AF12,Data_Table[[#All],[Compliance Critical]],'Data Preparation'!$AB$1)/COUNTIF(Data_Table[[#All],[Week]],'Data Preparation'!$AF12))</f>
        <v/>
      </c>
      <c r="AR12"/>
      <c r="AS12"/>
      <c r="AT12"/>
      <c r="AW12" s="88" t="s">
        <v>122</v>
      </c>
      <c r="AX12" s="1">
        <f>COUNTIFS(Data_Table[Product Information],1,Data_Table[Month],IF($BF$2="All Months","&lt;&gt;"&amp;"",$BF$2),Data_Table[Week],IF($BG$2="All Weeks","&lt;&gt;"&amp;"",$BG$2),Data_Table[Region],IF($BH$2="All Regions","&lt;&gt;"&amp;"",$BH$2),Data_Table[Agent Name],IF($BI$2="All Agents","&lt;&gt;"&amp;"",$BI$2))</f>
        <v>1</v>
      </c>
      <c r="AY12" s="1">
        <f>COUNTIFS(Data_Table[Product Information],"&lt;&gt;"&amp;"",Data_Table[Month],IF($BF$2="All Months","&lt;&gt;"&amp;"",$BF$2),Data_Table[Week],IF($BG$2="All Weeks","&lt;&gt;"&amp;"",$BG$2),Data_Table[Region],IF($BH$2="All Regions","&lt;&gt;"&amp;"",$BH$2),Data_Table[Agent Name],IF($BI$2="All Agents","&lt;&gt;"&amp;"",$BI$2))</f>
        <v>161</v>
      </c>
      <c r="AZ12" s="80">
        <f t="shared" si="0"/>
        <v>6.2111801242236021E-3</v>
      </c>
      <c r="BA12" s="83"/>
      <c r="BB12" s="83"/>
      <c r="BC12" s="89"/>
      <c r="BD12" s="89"/>
      <c r="BE12" s="89"/>
      <c r="BF12" s="89"/>
      <c r="BG12" s="89"/>
      <c r="BH12" s="89"/>
      <c r="BI12" s="90"/>
      <c r="BM12" s="1"/>
      <c r="BN12" s="1" t="s">
        <v>272</v>
      </c>
      <c r="BO12" s="1"/>
      <c r="BQ12" s="107"/>
    </row>
    <row r="13" spans="1:71" x14ac:dyDescent="0.25">
      <c r="X13" s="1"/>
      <c r="Y13" s="40" t="str">
        <f>IF(X13="","",COUNTIFS(Data_Table[[#All],[Month]],'Data Preparation'!$X13,Data_Table[[#All],[Attribute Fail Rate]],'Data Preparation'!$AB$1)/COUNTIF(Data_Table[[#All],[Month]],'Data Preparation'!$X13))</f>
        <v/>
      </c>
      <c r="Z13" s="40" t="str">
        <f>IF(X13="","",COUNTIFS(Data_Table[[#All],[Month]],'Data Preparation'!$X13,Data_Table[[#All],[Business Critical PF]],'Data Preparation'!$AB$1)/COUNTIF(Data_Table[[#All],[Month]],'Data Preparation'!$X13))</f>
        <v/>
      </c>
      <c r="AA13" s="40" t="str">
        <f>IF(X13="","",COUNTIFS(Data_Table[[#All],[Month]],'Data Preparation'!$X13,Data_Table[[#All],[Compliance Critical]],'Data Preparation'!$AB$1)/COUNTIF(Data_Table[[#All],[Month]],'Data Preparation'!$X13))</f>
        <v/>
      </c>
      <c r="AF13" s="1"/>
      <c r="AG13" s="42" t="str">
        <f>IF(AF13="","",COUNTIFS(Data_Table[[#All],[Week]],'Data Preparation'!$AF13,Data_Table[[#All],[Attribute Fail Rate]],'Data Preparation'!$AB$1)/COUNTIF(Data_Table[[#All],[Week]],'Data Preparation'!$AF13))</f>
        <v/>
      </c>
      <c r="AH13" s="42" t="str">
        <f>IF(AF13="","",COUNTIFS(Data_Table[[#All],[Week]],'Data Preparation'!$AF13,Data_Table[[#All],[Business Critical PF]],'Data Preparation'!$AB$1)/COUNTIF(Data_Table[[#All],[Week]],'Data Preparation'!$AF13))</f>
        <v/>
      </c>
      <c r="AI13" s="42" t="str">
        <f>IF(AF13="","",COUNTIFS(Data_Table[[#All],[Week]],'Data Preparation'!$AF13,Data_Table[[#All],[Compliance Critical]],'Data Preparation'!$AB$1)/COUNTIF(Data_Table[[#All],[Week]],'Data Preparation'!$AF13))</f>
        <v/>
      </c>
      <c r="AR13"/>
      <c r="AS13"/>
      <c r="AT13"/>
      <c r="AW13" s="88" t="s">
        <v>123</v>
      </c>
      <c r="AX13" s="1">
        <f>COUNTIFS(Data_Table[Effective Inquiry],1,Data_Table[Month],IF($BF$2="All Months","&lt;&gt;"&amp;"",$BF$2),Data_Table[Week],IF($BG$2="All Weeks","&lt;&gt;"&amp;"",$BG$2),Data_Table[Region],IF($BH$2="All Regions","&lt;&gt;"&amp;"",$BH$2),Data_Table[Agent Name],IF($BI$2="All Agents","&lt;&gt;"&amp;"",$BI$2))</f>
        <v>3</v>
      </c>
      <c r="AY13" s="1">
        <f>COUNTIFS(Data_Table[Effective Inquiry],"&lt;&gt;"&amp;"",Data_Table[Month],IF($BF$2="All Months","&lt;&gt;"&amp;"",$BF$2),Data_Table[Week],IF($BG$2="All Weeks","&lt;&gt;"&amp;"",$BG$2),Data_Table[Region],IF($BH$2="All Regions","&lt;&gt;"&amp;"",$BH$2),Data_Table[Agent Name],IF($BI$2="All Agents","&lt;&gt;"&amp;"",$BI$2))</f>
        <v>161</v>
      </c>
      <c r="AZ13" s="80">
        <f t="shared" si="0"/>
        <v>1.8633540372670808E-2</v>
      </c>
      <c r="BA13" s="83"/>
      <c r="BB13" s="83"/>
      <c r="BC13" s="89"/>
      <c r="BD13" s="89"/>
      <c r="BE13" s="89"/>
      <c r="BF13" s="89"/>
      <c r="BG13" s="89"/>
      <c r="BH13" s="89"/>
      <c r="BI13" s="90"/>
      <c r="BM13" s="1">
        <v>1</v>
      </c>
      <c r="BN13" s="1">
        <f>LARGE(_xlfn.UNIQUE(Data_Table[Week]),BM13)</f>
        <v>48</v>
      </c>
      <c r="BO13" s="1" t="str" cm="1">
        <f t="array" aca="1" ref="BO13:BO16" ca="1">Region_List_NoAll</f>
        <v>APAC</v>
      </c>
      <c r="BP13" s="1">
        <f ca="1">IF(BO13="","",COUNTIFS(Data_Table[Attribute Fail Rate],$BL$1,Data_Table[Week],$BN$13,Data_Table[Region],BO13))</f>
        <v>0</v>
      </c>
    </row>
    <row r="14" spans="1:71" x14ac:dyDescent="0.25">
      <c r="AF14" s="48"/>
      <c r="AG14" s="42" t="str">
        <f>IF(AF14="","",COUNTIFS(Data_Table[[#All],[Week]],'Data Preparation'!$AF14,Data_Table[[#All],[Attribute Fail Rate]],'Data Preparation'!$AB$1)/COUNTIF(Data_Table[[#All],[Week]],'Data Preparation'!$AF14))</f>
        <v/>
      </c>
      <c r="AH14" s="42" t="str">
        <f>IF(AF14="","",COUNTIFS(Data_Table[[#All],[Week]],'Data Preparation'!$AF14,Data_Table[[#All],[Business Critical PF]],'Data Preparation'!$AB$1)/COUNTIF(Data_Table[[#All],[Week]],'Data Preparation'!$AF14))</f>
        <v/>
      </c>
      <c r="AI14" s="42" t="str">
        <f>IF(AF14="","",COUNTIFS(Data_Table[[#All],[Week]],'Data Preparation'!$AF14,Data_Table[[#All],[Compliance Critical]],'Data Preparation'!$AB$1)/COUNTIF(Data_Table[[#All],[Week]],'Data Preparation'!$AF14))</f>
        <v/>
      </c>
      <c r="AR14"/>
      <c r="AS14"/>
      <c r="AT14"/>
      <c r="AW14" s="88" t="s">
        <v>124</v>
      </c>
      <c r="AX14" s="1">
        <f>COUNTIFS(Data_Table[XFN Escalation process],1,Data_Table[Month],IF($BF$2="All Months","&lt;&gt;"&amp;"",$BF$2),Data_Table[Week],IF($BG$2="All Weeks","&lt;&gt;"&amp;"",$BG$2),Data_Table[Region],IF($BH$2="All Regions","&lt;&gt;"&amp;"",$BH$2),Data_Table[Agent Name],IF($BI$2="All Agents","&lt;&gt;"&amp;"",$BI$2))</f>
        <v>0</v>
      </c>
      <c r="AY14" s="1">
        <f>COUNTIFS(Data_Table[XFN Escalation process],"&lt;&gt;"&amp;"",Data_Table[Month],IF($BF$2="All Months","&lt;&gt;"&amp;"",$BF$2),Data_Table[Week],IF($BG$2="All Weeks","&lt;&gt;"&amp;"",$BG$2),Data_Table[Region],IF($BH$2="All Regions","&lt;&gt;"&amp;"",$BH$2),Data_Table[Agent Name],IF($BI$2="All Agents","&lt;&gt;"&amp;"",$BI$2))</f>
        <v>161</v>
      </c>
      <c r="AZ14" s="80">
        <f t="shared" si="0"/>
        <v>0</v>
      </c>
      <c r="BA14" s="83"/>
      <c r="BB14" s="83"/>
      <c r="BC14" s="89"/>
      <c r="BD14" s="89"/>
      <c r="BE14" s="89"/>
      <c r="BF14" s="89"/>
      <c r="BG14" s="89"/>
      <c r="BH14" s="89"/>
      <c r="BI14" s="90"/>
      <c r="BM14" s="1"/>
      <c r="BN14" s="1"/>
      <c r="BO14" s="1" t="str">
        <f ca="1"/>
        <v>EUI</v>
      </c>
      <c r="BQ14" s="1">
        <f ca="1">IF(BO14="","",COUNTIFS(Data_Table[Attribute Fail Rate],$BL$1,Data_Table[Week],$BN$13,Data_Table[Region],BO14))</f>
        <v>0</v>
      </c>
    </row>
    <row r="15" spans="1:71" x14ac:dyDescent="0.25">
      <c r="AF15" s="48"/>
      <c r="AG15" s="42" t="str">
        <f>IF(AF15="","",COUNTIFS(Data_Table[[#All],[Week]],'Data Preparation'!$AF15,Data_Table[[#All],[Attribute Fail Rate]],'Data Preparation'!$AB$1)/COUNTIF(Data_Table[[#All],[Week]],'Data Preparation'!$AF15))</f>
        <v/>
      </c>
      <c r="AH15" s="42" t="str">
        <f>IF(AF15="","",COUNTIFS(Data_Table[[#All],[Week]],'Data Preparation'!$AF15,Data_Table[[#All],[Business Critical PF]],'Data Preparation'!$AB$1)/COUNTIF(Data_Table[[#All],[Week]],'Data Preparation'!$AF15))</f>
        <v/>
      </c>
      <c r="AI15" s="42" t="str">
        <f>IF(AF15="","",COUNTIFS(Data_Table[[#All],[Week]],'Data Preparation'!$AF15,Data_Table[[#All],[Compliance Critical]],'Data Preparation'!$AB$1)/COUNTIF(Data_Table[[#All],[Week]],'Data Preparation'!$AF15))</f>
        <v/>
      </c>
      <c r="AR15"/>
      <c r="AS15"/>
      <c r="AT15"/>
      <c r="AW15" s="88" t="s">
        <v>125</v>
      </c>
      <c r="AX15" s="1">
        <f>COUNTIFS(Data_Table[Solution Acceptability],1,Data_Table[Month],IF($BF$2="All Months","&lt;&gt;"&amp;"",$BF$2),Data_Table[Week],IF($BG$2="All Weeks","&lt;&gt;"&amp;"",$BG$2),Data_Table[Region],IF($BH$2="All Regions","&lt;&gt;"&amp;"",$BH$2),Data_Table[Agent Name],IF($BI$2="All Agents","&lt;&gt;"&amp;"",$BI$2))</f>
        <v>1</v>
      </c>
      <c r="AY15" s="1">
        <f>COUNTIFS(Data_Table[Solution Acceptability],"&lt;&gt;"&amp;"",Data_Table[Month],IF($BF$2="All Months","&lt;&gt;"&amp;"",$BF$2),Data_Table[Week],IF($BG$2="All Weeks","&lt;&gt;"&amp;"",$BG$2),Data_Table[Region],IF($BH$2="All Regions","&lt;&gt;"&amp;"",$BH$2),Data_Table[Agent Name],IF($BI$2="All Agents","&lt;&gt;"&amp;"",$BI$2))</f>
        <v>161</v>
      </c>
      <c r="AZ15" s="80">
        <f t="shared" si="0"/>
        <v>6.2111801242236021E-3</v>
      </c>
      <c r="BA15" s="83"/>
      <c r="BB15" s="83"/>
      <c r="BC15" s="89"/>
      <c r="BD15" s="89"/>
      <c r="BE15" s="89"/>
      <c r="BF15" s="89"/>
      <c r="BG15" s="89"/>
      <c r="BH15" s="89"/>
      <c r="BI15" s="90"/>
      <c r="BM15" s="1"/>
      <c r="BN15" s="1"/>
      <c r="BO15" s="1" t="str">
        <f ca="1"/>
        <v>METAP</v>
      </c>
      <c r="BR15" s="1">
        <f ca="1">IF(BO15="","",COUNTIFS(Data_Table[Attribute Fail Rate],$BL$1,Data_Table[Week],$BN$13,Data_Table[Region],BO15))</f>
        <v>0</v>
      </c>
    </row>
    <row r="16" spans="1:71" x14ac:dyDescent="0.25">
      <c r="AF16" s="48"/>
      <c r="AG16" s="42" t="str">
        <f>IF(AF16="","",COUNTIFS(Data_Table[[#All],[Week]],'Data Preparation'!$AF16,Data_Table[[#All],[Attribute Fail Rate]],'Data Preparation'!$AB$1)/COUNTIF(Data_Table[[#All],[Week]],'Data Preparation'!$AF16))</f>
        <v/>
      </c>
      <c r="AH16" s="42" t="str">
        <f>IF(AF16="","",COUNTIFS(Data_Table[[#All],[Week]],'Data Preparation'!$AF16,Data_Table[[#All],[Business Critical PF]],'Data Preparation'!$AB$1)/COUNTIF(Data_Table[[#All],[Week]],'Data Preparation'!$AF16))</f>
        <v/>
      </c>
      <c r="AI16" s="42" t="str">
        <f>IF(AF16="","",COUNTIFS(Data_Table[[#All],[Week]],'Data Preparation'!$AF16,Data_Table[[#All],[Compliance Critical]],'Data Preparation'!$AB$1)/COUNTIF(Data_Table[[#All],[Week]],'Data Preparation'!$AF16))</f>
        <v/>
      </c>
      <c r="AR16"/>
      <c r="AS16"/>
      <c r="AT16"/>
      <c r="AW16" s="88" t="s">
        <v>126</v>
      </c>
      <c r="AX16" s="1">
        <f>COUNTIFS(Data_Table[Ticket Closure],1,Data_Table[Month],IF($BF$2="All Months","&lt;&gt;"&amp;"",$BF$2),Data_Table[Week],IF($BG$2="All Weeks","&lt;&gt;"&amp;"",$BG$2),Data_Table[Region],IF($BH$2="All Regions","&lt;&gt;"&amp;"",$BH$2),Data_Table[Agent Name],IF($BI$2="All Agents","&lt;&gt;"&amp;"",$BI$2))</f>
        <v>0</v>
      </c>
      <c r="AY16" s="1">
        <f>COUNTIFS(Data_Table[Ticket Closure],"&lt;&gt;"&amp;"",Data_Table[Month],IF($BF$2="All Months","&lt;&gt;"&amp;"",$BF$2),Data_Table[Week],IF($BG$2="All Weeks","&lt;&gt;"&amp;"",$BG$2),Data_Table[Region],IF($BH$2="All Regions","&lt;&gt;"&amp;"",$BH$2),Data_Table[Agent Name],IF($BI$2="All Agents","&lt;&gt;"&amp;"",$BI$2))</f>
        <v>161</v>
      </c>
      <c r="AZ16" s="80">
        <f t="shared" si="0"/>
        <v>0</v>
      </c>
      <c r="BA16" s="83"/>
      <c r="BB16" s="83"/>
      <c r="BC16" s="89"/>
      <c r="BD16" s="89"/>
      <c r="BE16" s="89"/>
      <c r="BF16" s="89"/>
      <c r="BG16" s="89"/>
      <c r="BH16" s="89"/>
      <c r="BI16" s="90"/>
      <c r="BM16" s="1"/>
      <c r="BN16" s="1"/>
      <c r="BO16" s="1" t="str">
        <f ca="1"/>
        <v xml:space="preserve">NA </v>
      </c>
      <c r="BS16" s="1">
        <f ca="1">IF(BO16="","",COUNTIFS(Data_Table[Attribute Fail Rate],$BL$1,Data_Table[Week],$BN$13,Data_Table[Region],BO16))</f>
        <v>1</v>
      </c>
    </row>
    <row r="17" spans="32:71" x14ac:dyDescent="0.25">
      <c r="AF17" s="48"/>
      <c r="AG17" s="42" t="str">
        <f>IF(AF17="","",COUNTIFS(Data_Table[[#All],[Week]],'Data Preparation'!$AF17,Data_Table[[#All],[Attribute Fail Rate]],'Data Preparation'!$AB$1)/COUNTIF(Data_Table[[#All],[Week]],'Data Preparation'!$AF17))</f>
        <v/>
      </c>
      <c r="AH17" s="42" t="str">
        <f>IF(AF17="","",COUNTIFS(Data_Table[[#All],[Week]],'Data Preparation'!$AF17,Data_Table[[#All],[Business Critical PF]],'Data Preparation'!$AB$1)/COUNTIF(Data_Table[[#All],[Week]],'Data Preparation'!$AF17))</f>
        <v/>
      </c>
      <c r="AI17" s="42" t="str">
        <f>IF(AF17="","",COUNTIFS(Data_Table[[#All],[Week]],'Data Preparation'!$AF17,Data_Table[[#All],[Compliance Critical]],'Data Preparation'!$AB$1)/COUNTIF(Data_Table[[#All],[Week]],'Data Preparation'!$AF17))</f>
        <v/>
      </c>
      <c r="AR17"/>
      <c r="AS17"/>
      <c r="AT17"/>
      <c r="AW17" s="88" t="s">
        <v>127</v>
      </c>
      <c r="AX17" s="1">
        <f>COUNTIFS(Data_Table[Resolution time],1,Data_Table[Month],IF($BF$2="All Months","&lt;&gt;"&amp;"",$BF$2),Data_Table[Week],IF($BG$2="All Weeks","&lt;&gt;"&amp;"",$BG$2),Data_Table[Region],IF($BH$2="All Regions","&lt;&gt;"&amp;"",$BH$2),Data_Table[Agent Name],IF($BI$2="All Agents","&lt;&gt;"&amp;"",$BI$2))</f>
        <v>12</v>
      </c>
      <c r="AY17" s="1">
        <f>COUNTIFS(Data_Table[Resolution time],"&lt;&gt;"&amp;"",Data_Table[Month],IF($BF$2="All Months","&lt;&gt;"&amp;"",$BF$2),Data_Table[Week],IF($BG$2="All Weeks","&lt;&gt;"&amp;"",$BG$2),Data_Table[Region],IF($BH$2="All Regions","&lt;&gt;"&amp;"",$BH$2),Data_Table[Agent Name],IF($BI$2="All Agents","&lt;&gt;"&amp;"",$BI$2))</f>
        <v>161</v>
      </c>
      <c r="AZ17" s="80">
        <f t="shared" si="0"/>
        <v>7.4534161490683232E-2</v>
      </c>
      <c r="BA17" s="83"/>
      <c r="BB17" s="83"/>
      <c r="BC17" s="89"/>
      <c r="BD17" s="89"/>
      <c r="BE17" s="89"/>
      <c r="BF17" s="89"/>
      <c r="BG17" s="89"/>
      <c r="BH17" s="89"/>
      <c r="BI17" s="90"/>
      <c r="BM17" s="1"/>
      <c r="BN17" s="1" t="s">
        <v>272</v>
      </c>
      <c r="BO17" s="1"/>
      <c r="BP17" s="107"/>
      <c r="BQ17" s="59"/>
      <c r="BR17" s="59"/>
      <c r="BS17" s="59"/>
    </row>
    <row r="18" spans="32:71" ht="15.75" thickBot="1" x14ac:dyDescent="0.3">
      <c r="AF18" s="48"/>
      <c r="AG18" s="42" t="str">
        <f>IF(AF18="","",COUNTIFS(Data_Table[[#All],[Week]],'Data Preparation'!$AF18,Data_Table[[#All],[Attribute Fail Rate]],'Data Preparation'!$AB$1)/COUNTIF(Data_Table[[#All],[Week]],'Data Preparation'!$AF18))</f>
        <v/>
      </c>
      <c r="AH18" s="42" t="str">
        <f>IF(AF18="","",COUNTIFS(Data_Table[[#All],[Week]],'Data Preparation'!$AF18,Data_Table[[#All],[Business Critical PF]],'Data Preparation'!$AB$1)/COUNTIF(Data_Table[[#All],[Week]],'Data Preparation'!$AF18))</f>
        <v/>
      </c>
      <c r="AI18" s="42" t="str">
        <f>IF(AF18="","",COUNTIFS(Data_Table[[#All],[Week]],'Data Preparation'!$AF18,Data_Table[[#All],[Compliance Critical]],'Data Preparation'!$AB$1)/COUNTIF(Data_Table[[#All],[Week]],'Data Preparation'!$AF18))</f>
        <v/>
      </c>
      <c r="AW18" s="91" t="s">
        <v>128</v>
      </c>
      <c r="AX18" s="92">
        <f>COUNTIFS(Data_Table[[Effective escalation ]],1,Data_Table[Month],IF($BF$2="All Months","&lt;&gt;"&amp;"",$BF$2),Data_Table[Week],IF($BG$2="All Weeks","&lt;&gt;"&amp;"",$BG$2),Data_Table[Region],IF($BH$2="All Regions","&lt;&gt;"&amp;"",$BH$2),Data_Table[Agent Name],IF($BI$2="All Agents","&lt;&gt;"&amp;"",$BI$2))</f>
        <v>0</v>
      </c>
      <c r="AY18" s="92">
        <f>COUNTIFS(Data_Table[[Effective escalation ]],"&lt;&gt;"&amp;"",Data_Table[Month],IF($BF$2="All Months","&lt;&gt;"&amp;"",$BF$2),Data_Table[Week],IF($BG$2="All Weeks","&lt;&gt;"&amp;"",$BG$2),Data_Table[Region],IF($BH$2="All Regions","&lt;&gt;"&amp;"",$BH$2),Data_Table[Agent Name],IF($BI$2="All Agents","&lt;&gt;"&amp;"",$BI$2))</f>
        <v>161</v>
      </c>
      <c r="AZ18" s="99">
        <f t="shared" si="0"/>
        <v>0</v>
      </c>
      <c r="BA18" s="93"/>
      <c r="BB18" s="93"/>
      <c r="BC18" s="94"/>
      <c r="BD18" s="94"/>
      <c r="BE18" s="94"/>
      <c r="BF18" s="94"/>
      <c r="BG18" s="94"/>
      <c r="BH18" s="94"/>
      <c r="BI18" s="95"/>
    </row>
    <row r="19" spans="32:71" x14ac:dyDescent="0.25">
      <c r="AF19" s="48"/>
      <c r="AG19" s="42" t="str">
        <f>IF(AF19="","",COUNTIFS(Data_Table[[#All],[Week]],'Data Preparation'!$AF19,Data_Table[[#All],[Attribute Fail Rate]],'Data Preparation'!$AB$1)/COUNTIF(Data_Table[[#All],[Week]],'Data Preparation'!$AF19))</f>
        <v/>
      </c>
      <c r="AH19" s="42" t="str">
        <f>IF(AF19="","",COUNTIFS(Data_Table[[#All],[Week]],'Data Preparation'!$AF19,Data_Table[[#All],[Business Critical PF]],'Data Preparation'!$AB$1)/COUNTIF(Data_Table[[#All],[Week]],'Data Preparation'!$AF19))</f>
        <v/>
      </c>
      <c r="AI19" s="42" t="str">
        <f>IF(AF19="","",COUNTIFS(Data_Table[[#All],[Week]],'Data Preparation'!$AF19,Data_Table[[#All],[Compliance Critical]],'Data Preparation'!$AB$1)/COUNTIF(Data_Table[[#All],[Week]],'Data Preparation'!$AF19))</f>
        <v/>
      </c>
      <c r="BL19" s="59"/>
    </row>
    <row r="20" spans="32:71" x14ac:dyDescent="0.25">
      <c r="AF20" s="48"/>
      <c r="AG20" s="42" t="str">
        <f>IF(AF20="","",COUNTIFS(Data_Table[[#All],[Week]],'Data Preparation'!$AF20,Data_Table[[#All],[Attribute Fail Rate]],'Data Preparation'!$AB$1)/COUNTIF(Data_Table[[#All],[Week]],'Data Preparation'!$AF20))</f>
        <v/>
      </c>
      <c r="AH20" s="42" t="str">
        <f>IF(AF20="","",COUNTIFS(Data_Table[[#All],[Week]],'Data Preparation'!$AF20,Data_Table[[#All],[Business Critical PF]],'Data Preparation'!$AB$1)/COUNTIF(Data_Table[[#All],[Week]],'Data Preparation'!$AF20))</f>
        <v/>
      </c>
      <c r="AI20" s="42" t="str">
        <f>IF(AF20="","",COUNTIFS(Data_Table[[#All],[Week]],'Data Preparation'!$AF20,Data_Table[[#All],[Compliance Critical]],'Data Preparation'!$AB$1)/COUNTIF(Data_Table[[#All],[Week]],'Data Preparation'!$AF20))</f>
        <v/>
      </c>
    </row>
    <row r="21" spans="32:71" x14ac:dyDescent="0.25">
      <c r="AF21" s="48"/>
      <c r="AG21" s="42" t="str">
        <f>IF(AF21="","",COUNTIFS(Data_Table[[#All],[Week]],'Data Preparation'!$AF21,Data_Table[[#All],[Attribute Fail Rate]],'Data Preparation'!$AB$1)/COUNTIF(Data_Table[[#All],[Week]],'Data Preparation'!$AF21))</f>
        <v/>
      </c>
      <c r="AH21" s="42" t="str">
        <f>IF(AF21="","",COUNTIFS(Data_Table[[#All],[Week]],'Data Preparation'!$AF21,Data_Table[[#All],[Business Critical PF]],'Data Preparation'!$AB$1)/COUNTIF(Data_Table[[#All],[Week]],'Data Preparation'!$AF21))</f>
        <v/>
      </c>
      <c r="AI21" s="42" t="str">
        <f>IF(AF21="","",COUNTIFS(Data_Table[[#All],[Week]],'Data Preparation'!$AF21,Data_Table[[#All],[Compliance Critical]],'Data Preparation'!$AB$1)/COUNTIF(Data_Table[[#All],[Week]],'Data Preparation'!$AF21))</f>
        <v/>
      </c>
    </row>
    <row r="22" spans="32:71" x14ac:dyDescent="0.25">
      <c r="AF22" s="48"/>
      <c r="AG22" s="42" t="str">
        <f>IF(AF22="","",COUNTIFS(Data_Table[[#All],[Week]],'Data Preparation'!$AF22,Data_Table[[#All],[Attribute Fail Rate]],'Data Preparation'!$AB$1)/COUNTIF(Data_Table[[#All],[Week]],'Data Preparation'!$AF22))</f>
        <v/>
      </c>
      <c r="AH22" s="42" t="str">
        <f>IF(AF22="","",COUNTIFS(Data_Table[[#All],[Week]],'Data Preparation'!$AF22,Data_Table[[#All],[Business Critical PF]],'Data Preparation'!$AB$1)/COUNTIF(Data_Table[[#All],[Week]],'Data Preparation'!$AF22))</f>
        <v/>
      </c>
      <c r="AI22" s="42" t="str">
        <f>IF(AF22="","",COUNTIFS(Data_Table[[#All],[Week]],'Data Preparation'!$AF22,Data_Table[[#All],[Compliance Critical]],'Data Preparation'!$AB$1)/COUNTIF(Data_Table[[#All],[Week]],'Data Preparation'!$AF22))</f>
        <v/>
      </c>
    </row>
    <row r="23" spans="32:71" x14ac:dyDescent="0.25">
      <c r="AF23" s="48"/>
      <c r="AG23" s="42" t="str">
        <f>IF(AF23="","",COUNTIFS(Data_Table[[#All],[Week]],'Data Preparation'!$AF23,Data_Table[[#All],[Attribute Fail Rate]],'Data Preparation'!$AB$1)/COUNTIF(Data_Table[[#All],[Week]],'Data Preparation'!$AF23))</f>
        <v/>
      </c>
      <c r="AH23" s="42" t="str">
        <f>IF(AF23="","",COUNTIFS(Data_Table[[#All],[Week]],'Data Preparation'!$AF23,Data_Table[[#All],[Business Critical PF]],'Data Preparation'!$AB$1)/COUNTIF(Data_Table[[#All],[Week]],'Data Preparation'!$AF23))</f>
        <v/>
      </c>
      <c r="AI23" s="42" t="str">
        <f>IF(AF23="","",COUNTIFS(Data_Table[[#All],[Week]],'Data Preparation'!$AF23,Data_Table[[#All],[Compliance Critical]],'Data Preparation'!$AB$1)/COUNTIF(Data_Table[[#All],[Week]],'Data Preparation'!$AF23))</f>
        <v/>
      </c>
    </row>
    <row r="24" spans="32:71" x14ac:dyDescent="0.25">
      <c r="AF24" s="48"/>
      <c r="AG24" s="42" t="str">
        <f>IF(AF24="","",COUNTIFS(Data_Table[[#All],[Week]],'Data Preparation'!$AF24,Data_Table[[#All],[Attribute Fail Rate]],'Data Preparation'!$AB$1)/COUNTIF(Data_Table[[#All],[Week]],'Data Preparation'!$AF24))</f>
        <v/>
      </c>
      <c r="AH24" s="42" t="str">
        <f>IF(AF24="","",COUNTIFS(Data_Table[[#All],[Week]],'Data Preparation'!$AF24,Data_Table[[#All],[Business Critical PF]],'Data Preparation'!$AB$1)/COUNTIF(Data_Table[[#All],[Week]],'Data Preparation'!$AF24))</f>
        <v/>
      </c>
      <c r="AI24" s="42" t="str">
        <f>IF(AF24="","",COUNTIFS(Data_Table[[#All],[Week]],'Data Preparation'!$AF24,Data_Table[[#All],[Compliance Critical]],'Data Preparation'!$AB$1)/COUNTIF(Data_Table[[#All],[Week]],'Data Preparation'!$AF24))</f>
        <v/>
      </c>
    </row>
    <row r="25" spans="32:71" x14ac:dyDescent="0.25">
      <c r="AF25" s="48"/>
      <c r="AG25" s="42" t="str">
        <f>IF(AF25="","",COUNTIFS(Data_Table[[#All],[Week]],'Data Preparation'!$AF25,Data_Table[[#All],[Attribute Fail Rate]],'Data Preparation'!$AB$1)/COUNTIF(Data_Table[[#All],[Week]],'Data Preparation'!$AF25))</f>
        <v/>
      </c>
      <c r="AH25" s="42" t="str">
        <f>IF(AF25="","",COUNTIFS(Data_Table[[#All],[Week]],'Data Preparation'!$AF25,Data_Table[[#All],[Business Critical PF]],'Data Preparation'!$AB$1)/COUNTIF(Data_Table[[#All],[Week]],'Data Preparation'!$AF25))</f>
        <v/>
      </c>
      <c r="AI25" s="42" t="str">
        <f>IF(AF25="","",COUNTIFS(Data_Table[[#All],[Week]],'Data Preparation'!$AF25,Data_Table[[#All],[Compliance Critical]],'Data Preparation'!$AB$1)/COUNTIF(Data_Table[[#All],[Week]],'Data Preparation'!$AF25))</f>
        <v/>
      </c>
    </row>
    <row r="26" spans="32:71" x14ac:dyDescent="0.25">
      <c r="AF26" s="48"/>
      <c r="AG26" s="42" t="str">
        <f>IF(AF26="","",COUNTIFS(Data_Table[[#All],[Week]],'Data Preparation'!$AF26,Data_Table[[#All],[Attribute Fail Rate]],'Data Preparation'!$AB$1)/COUNTIF(Data_Table[[#All],[Week]],'Data Preparation'!$AF26))</f>
        <v/>
      </c>
      <c r="AH26" s="42" t="str">
        <f>IF(AF26="","",COUNTIFS(Data_Table[[#All],[Week]],'Data Preparation'!$AF26,Data_Table[[#All],[Business Critical PF]],'Data Preparation'!$AB$1)/COUNTIF(Data_Table[[#All],[Week]],'Data Preparation'!$AF26))</f>
        <v/>
      </c>
      <c r="AI26" s="42" t="str">
        <f>IF(AF26="","",COUNTIFS(Data_Table[[#All],[Week]],'Data Preparation'!$AF26,Data_Table[[#All],[Compliance Critical]],'Data Preparation'!$AB$1)/COUNTIF(Data_Table[[#All],[Week]],'Data Preparation'!$AF26))</f>
        <v/>
      </c>
    </row>
    <row r="27" spans="32:71" x14ac:dyDescent="0.25">
      <c r="AF27" s="48"/>
      <c r="AG27" s="42" t="str">
        <f>IF(AF27="","",COUNTIFS(Data_Table[[#All],[Week]],'Data Preparation'!$AF27,Data_Table[[#All],[Attribute Fail Rate]],'Data Preparation'!$AB$1)/COUNTIF(Data_Table[[#All],[Week]],'Data Preparation'!$AF27))</f>
        <v/>
      </c>
      <c r="AH27" s="42" t="str">
        <f>IF(AF27="","",COUNTIFS(Data_Table[[#All],[Week]],'Data Preparation'!$AF27,Data_Table[[#All],[Business Critical PF]],'Data Preparation'!$AB$1)/COUNTIF(Data_Table[[#All],[Week]],'Data Preparation'!$AF27))</f>
        <v/>
      </c>
      <c r="AI27" s="42" t="str">
        <f>IF(AF27="","",COUNTIFS(Data_Table[[#All],[Week]],'Data Preparation'!$AF27,Data_Table[[#All],[Compliance Critical]],'Data Preparation'!$AB$1)/COUNTIF(Data_Table[[#All],[Week]],'Data Preparation'!$AF27))</f>
        <v/>
      </c>
    </row>
    <row r="28" spans="32:71" x14ac:dyDescent="0.25">
      <c r="AF28" s="48"/>
      <c r="AG28" s="42" t="str">
        <f>IF(AF28="","",COUNTIFS(Data_Table[[#All],[Week]],'Data Preparation'!$AF28,Data_Table[[#All],[Attribute Fail Rate]],'Data Preparation'!$AB$1)/COUNTIF(Data_Table[[#All],[Week]],'Data Preparation'!$AF28))</f>
        <v/>
      </c>
      <c r="AH28" s="42" t="str">
        <f>IF(AF28="","",COUNTIFS(Data_Table[[#All],[Week]],'Data Preparation'!$AF28,Data_Table[[#All],[Business Critical PF]],'Data Preparation'!$AB$1)/COUNTIF(Data_Table[[#All],[Week]],'Data Preparation'!$AF28))</f>
        <v/>
      </c>
      <c r="AI28" s="42" t="str">
        <f>IF(AF28="","",COUNTIFS(Data_Table[[#All],[Week]],'Data Preparation'!$AF28,Data_Table[[#All],[Compliance Critical]],'Data Preparation'!$AB$1)/COUNTIF(Data_Table[[#All],[Week]],'Data Preparation'!$AF28))</f>
        <v/>
      </c>
    </row>
    <row r="29" spans="32:71" x14ac:dyDescent="0.25">
      <c r="AF29" s="48"/>
      <c r="AG29" s="42" t="str">
        <f>IF(AF29="","",COUNTIFS(Data_Table[[#All],[Week]],'Data Preparation'!$AF29,Data_Table[[#All],[Attribute Fail Rate]],'Data Preparation'!$AB$1)/COUNTIF(Data_Table[[#All],[Week]],'Data Preparation'!$AF29))</f>
        <v/>
      </c>
      <c r="AH29" s="42" t="str">
        <f>IF(AF29="","",COUNTIFS(Data_Table[[#All],[Week]],'Data Preparation'!$AF29,Data_Table[[#All],[Business Critical PF]],'Data Preparation'!$AB$1)/COUNTIF(Data_Table[[#All],[Week]],'Data Preparation'!$AF29))</f>
        <v/>
      </c>
      <c r="AI29" s="42" t="str">
        <f>IF(AF29="","",COUNTIFS(Data_Table[[#All],[Week]],'Data Preparation'!$AF29,Data_Table[[#All],[Compliance Critical]],'Data Preparation'!$AB$1)/COUNTIF(Data_Table[[#All],[Week]],'Data Preparation'!$AF29))</f>
        <v/>
      </c>
    </row>
    <row r="30" spans="32:71" x14ac:dyDescent="0.25">
      <c r="AF30" s="48"/>
      <c r="AG30" s="42" t="str">
        <f>IF(AF30="","",COUNTIFS(Data_Table[[#All],[Week]],'Data Preparation'!$AF30,Data_Table[[#All],[Attribute Fail Rate]],'Data Preparation'!$AB$1)/COUNTIF(Data_Table[[#All],[Week]],'Data Preparation'!$AF30))</f>
        <v/>
      </c>
      <c r="AH30" s="42" t="str">
        <f>IF(AF30="","",COUNTIFS(Data_Table[[#All],[Week]],'Data Preparation'!$AF30,Data_Table[[#All],[Business Critical PF]],'Data Preparation'!$AB$1)/COUNTIF(Data_Table[[#All],[Week]],'Data Preparation'!$AF30))</f>
        <v/>
      </c>
      <c r="AI30" s="42" t="str">
        <f>IF(AF30="","",COUNTIFS(Data_Table[[#All],[Week]],'Data Preparation'!$AF30,Data_Table[[#All],[Compliance Critical]],'Data Preparation'!$AB$1)/COUNTIF(Data_Table[[#All],[Week]],'Data Preparation'!$AF30))</f>
        <v/>
      </c>
    </row>
    <row r="31" spans="32:71" x14ac:dyDescent="0.25">
      <c r="AF31" s="48"/>
      <c r="AG31" s="42" t="str">
        <f>IF(AF31="","",COUNTIFS(Data_Table[[#All],[Week]],'Data Preparation'!$AF31,Data_Table[[#All],[Attribute Fail Rate]],'Data Preparation'!$AB$1)/COUNTIF(Data_Table[[#All],[Week]],'Data Preparation'!$AF31))</f>
        <v/>
      </c>
      <c r="AH31" s="42" t="str">
        <f>IF(AF31="","",COUNTIFS(Data_Table[[#All],[Week]],'Data Preparation'!$AF31,Data_Table[[#All],[Business Critical PF]],'Data Preparation'!$AB$1)/COUNTIF(Data_Table[[#All],[Week]],'Data Preparation'!$AF31))</f>
        <v/>
      </c>
      <c r="AI31" s="42" t="str">
        <f>IF(AF31="","",COUNTIFS(Data_Table[[#All],[Week]],'Data Preparation'!$AF31,Data_Table[[#All],[Compliance Critical]],'Data Preparation'!$AB$1)/COUNTIF(Data_Table[[#All],[Week]],'Data Preparation'!$AF31))</f>
        <v/>
      </c>
    </row>
    <row r="32" spans="32:71" x14ac:dyDescent="0.25">
      <c r="AF32" s="48"/>
      <c r="AG32" s="42" t="str">
        <f>IF(AF32="","",COUNTIFS(Data_Table[[#All],[Week]],'Data Preparation'!$AF32,Data_Table[[#All],[Attribute Fail Rate]],'Data Preparation'!$AB$1)/COUNTIF(Data_Table[[#All],[Week]],'Data Preparation'!$AF32))</f>
        <v/>
      </c>
      <c r="AH32" s="42" t="str">
        <f>IF(AF32="","",COUNTIFS(Data_Table[[#All],[Week]],'Data Preparation'!$AF32,Data_Table[[#All],[Business Critical PF]],'Data Preparation'!$AB$1)/COUNTIF(Data_Table[[#All],[Week]],'Data Preparation'!$AF32))</f>
        <v/>
      </c>
      <c r="AI32" s="42" t="str">
        <f>IF(AF32="","",COUNTIFS(Data_Table[[#All],[Week]],'Data Preparation'!$AF32,Data_Table[[#All],[Compliance Critical]],'Data Preparation'!$AB$1)/COUNTIF(Data_Table[[#All],[Week]],'Data Preparation'!$AF32))</f>
        <v/>
      </c>
    </row>
    <row r="33" spans="32:35" x14ac:dyDescent="0.25">
      <c r="AF33" s="48"/>
      <c r="AG33" s="42" t="str">
        <f>IF(AF33="","",COUNTIFS(Data_Table[[#All],[Week]],'Data Preparation'!$AF33,Data_Table[[#All],[Attribute Fail Rate]],'Data Preparation'!$AB$1)/COUNTIF(Data_Table[[#All],[Week]],'Data Preparation'!$AF33))</f>
        <v/>
      </c>
      <c r="AH33" s="42" t="str">
        <f>IF(AF33="","",COUNTIFS(Data_Table[[#All],[Week]],'Data Preparation'!$AF33,Data_Table[[#All],[Business Critical PF]],'Data Preparation'!$AB$1)/COUNTIF(Data_Table[[#All],[Week]],'Data Preparation'!$AF33))</f>
        <v/>
      </c>
      <c r="AI33" s="42" t="str">
        <f>IF(AF33="","",COUNTIFS(Data_Table[[#All],[Week]],'Data Preparation'!$AF33,Data_Table[[#All],[Compliance Critical]],'Data Preparation'!$AB$1)/COUNTIF(Data_Table[[#All],[Week]],'Data Preparation'!$AF33))</f>
        <v/>
      </c>
    </row>
    <row r="34" spans="32:35" x14ac:dyDescent="0.25">
      <c r="AF34" s="48"/>
      <c r="AG34" s="42" t="str">
        <f>IF(AF34="","",COUNTIFS(Data_Table[[#All],[Week]],'Data Preparation'!$AF34,Data_Table[[#All],[Attribute Fail Rate]],'Data Preparation'!$AB$1)/COUNTIF(Data_Table[[#All],[Week]],'Data Preparation'!$AF34))</f>
        <v/>
      </c>
      <c r="AH34" s="42" t="str">
        <f>IF(AF34="","",COUNTIFS(Data_Table[[#All],[Week]],'Data Preparation'!$AF34,Data_Table[[#All],[Business Critical PF]],'Data Preparation'!$AB$1)/COUNTIF(Data_Table[[#All],[Week]],'Data Preparation'!$AF34))</f>
        <v/>
      </c>
      <c r="AI34" s="42" t="str">
        <f>IF(AF34="","",COUNTIFS(Data_Table[[#All],[Week]],'Data Preparation'!$AF34,Data_Table[[#All],[Compliance Critical]],'Data Preparation'!$AB$1)/COUNTIF(Data_Table[[#All],[Week]],'Data Preparation'!$AF34))</f>
        <v/>
      </c>
    </row>
    <row r="35" spans="32:35" x14ac:dyDescent="0.25">
      <c r="AF35" s="48"/>
      <c r="AG35" s="42" t="str">
        <f>IF(AF35="","",COUNTIFS(Data_Table[[#All],[Week]],'Data Preparation'!$AF35,Data_Table[[#All],[Attribute Fail Rate]],'Data Preparation'!$AB$1)/COUNTIF(Data_Table[[#All],[Week]],'Data Preparation'!$AF35))</f>
        <v/>
      </c>
      <c r="AH35" s="42" t="str">
        <f>IF(AF35="","",COUNTIFS(Data_Table[[#All],[Week]],'Data Preparation'!$AF35,Data_Table[[#All],[Business Critical PF]],'Data Preparation'!$AB$1)/COUNTIF(Data_Table[[#All],[Week]],'Data Preparation'!$AF35))</f>
        <v/>
      </c>
      <c r="AI35" s="42" t="str">
        <f>IF(AF35="","",COUNTIFS(Data_Table[[#All],[Week]],'Data Preparation'!$AF35,Data_Table[[#All],[Compliance Critical]],'Data Preparation'!$AB$1)/COUNTIF(Data_Table[[#All],[Week]],'Data Preparation'!$AF35))</f>
        <v/>
      </c>
    </row>
    <row r="36" spans="32:35" x14ac:dyDescent="0.25">
      <c r="AF36" s="48"/>
      <c r="AG36" s="42" t="str">
        <f>IF(AF36="","",COUNTIFS(Data_Table[[#All],[Week]],'Data Preparation'!$AF36,Data_Table[[#All],[Attribute Fail Rate]],'Data Preparation'!$AB$1)/COUNTIF(Data_Table[[#All],[Week]],'Data Preparation'!$AF36))</f>
        <v/>
      </c>
      <c r="AH36" s="42" t="str">
        <f>IF(AF36="","",COUNTIFS(Data_Table[[#All],[Week]],'Data Preparation'!$AF36,Data_Table[[#All],[Business Critical PF]],'Data Preparation'!$AB$1)/COUNTIF(Data_Table[[#All],[Week]],'Data Preparation'!$AF36))</f>
        <v/>
      </c>
      <c r="AI36" s="42" t="str">
        <f>IF(AF36="","",COUNTIFS(Data_Table[[#All],[Week]],'Data Preparation'!$AF36,Data_Table[[#All],[Compliance Critical]],'Data Preparation'!$AB$1)/COUNTIF(Data_Table[[#All],[Week]],'Data Preparation'!$AF36))</f>
        <v/>
      </c>
    </row>
    <row r="37" spans="32:35" x14ac:dyDescent="0.25">
      <c r="AF37" s="48"/>
      <c r="AG37" s="42" t="str">
        <f>IF(AF37="","",COUNTIFS(Data_Table[[#All],[Week]],'Data Preparation'!$AF37,Data_Table[[#All],[Attribute Fail Rate]],'Data Preparation'!$AB$1)/COUNTIF(Data_Table[[#All],[Week]],'Data Preparation'!$AF37))</f>
        <v/>
      </c>
      <c r="AH37" s="42" t="str">
        <f>IF(AF37="","",COUNTIFS(Data_Table[[#All],[Week]],'Data Preparation'!$AF37,Data_Table[[#All],[Business Critical PF]],'Data Preparation'!$AB$1)/COUNTIF(Data_Table[[#All],[Week]],'Data Preparation'!$AF37))</f>
        <v/>
      </c>
      <c r="AI37" s="42" t="str">
        <f>IF(AF37="","",COUNTIFS(Data_Table[[#All],[Week]],'Data Preparation'!$AF37,Data_Table[[#All],[Compliance Critical]],'Data Preparation'!$AB$1)/COUNTIF(Data_Table[[#All],[Week]],'Data Preparation'!$AF37))</f>
        <v/>
      </c>
    </row>
    <row r="38" spans="32:35" x14ac:dyDescent="0.25">
      <c r="AF38" s="48"/>
      <c r="AG38" s="42" t="str">
        <f>IF(AF38="","",COUNTIFS(Data_Table[[#All],[Week]],'Data Preparation'!$AF38,Data_Table[[#All],[Attribute Fail Rate]],'Data Preparation'!$AB$1)/COUNTIF(Data_Table[[#All],[Week]],'Data Preparation'!$AF38))</f>
        <v/>
      </c>
      <c r="AH38" s="42" t="str">
        <f>IF(AF38="","",COUNTIFS(Data_Table[[#All],[Week]],'Data Preparation'!$AF38,Data_Table[[#All],[Business Critical PF]],'Data Preparation'!$AB$1)/COUNTIF(Data_Table[[#All],[Week]],'Data Preparation'!$AF38))</f>
        <v/>
      </c>
      <c r="AI38" s="42" t="str">
        <f>IF(AF38="","",COUNTIFS(Data_Table[[#All],[Week]],'Data Preparation'!$AF38,Data_Table[[#All],[Compliance Critical]],'Data Preparation'!$AB$1)/COUNTIF(Data_Table[[#All],[Week]],'Data Preparation'!$AF38))</f>
        <v/>
      </c>
    </row>
    <row r="39" spans="32:35" x14ac:dyDescent="0.25">
      <c r="AF39" s="48"/>
      <c r="AG39" s="42" t="str">
        <f>IF(AF39="","",COUNTIFS(Data_Table[[#All],[Week]],'Data Preparation'!$AF39,Data_Table[[#All],[Attribute Fail Rate]],'Data Preparation'!$AB$1)/COUNTIF(Data_Table[[#All],[Week]],'Data Preparation'!$AF39))</f>
        <v/>
      </c>
      <c r="AH39" s="42" t="str">
        <f>IF(AF39="","",COUNTIFS(Data_Table[[#All],[Week]],'Data Preparation'!$AF39,Data_Table[[#All],[Business Critical PF]],'Data Preparation'!$AB$1)/COUNTIF(Data_Table[[#All],[Week]],'Data Preparation'!$AF39))</f>
        <v/>
      </c>
      <c r="AI39" s="42" t="str">
        <f>IF(AF39="","",COUNTIFS(Data_Table[[#All],[Week]],'Data Preparation'!$AF39,Data_Table[[#All],[Compliance Critical]],'Data Preparation'!$AB$1)/COUNTIF(Data_Table[[#All],[Week]],'Data Preparation'!$AF39))</f>
        <v/>
      </c>
    </row>
    <row r="40" spans="32:35" x14ac:dyDescent="0.25">
      <c r="AF40" s="48"/>
      <c r="AG40" s="42" t="str">
        <f>IF(AF40="","",COUNTIFS(Data_Table[[#All],[Week]],'Data Preparation'!$AF40,Data_Table[[#All],[Attribute Fail Rate]],'Data Preparation'!$AB$1)/COUNTIF(Data_Table[[#All],[Week]],'Data Preparation'!$AF40))</f>
        <v/>
      </c>
      <c r="AH40" s="42" t="str">
        <f>IF(AF40="","",COUNTIFS(Data_Table[[#All],[Week]],'Data Preparation'!$AF40,Data_Table[[#All],[Business Critical PF]],'Data Preparation'!$AB$1)/COUNTIF(Data_Table[[#All],[Week]],'Data Preparation'!$AF40))</f>
        <v/>
      </c>
      <c r="AI40" s="42" t="str">
        <f>IF(AF40="","",COUNTIFS(Data_Table[[#All],[Week]],'Data Preparation'!$AF40,Data_Table[[#All],[Compliance Critical]],'Data Preparation'!$AB$1)/COUNTIF(Data_Table[[#All],[Week]],'Data Preparation'!$AF40))</f>
        <v/>
      </c>
    </row>
    <row r="41" spans="32:35" x14ac:dyDescent="0.25">
      <c r="AF41" s="48"/>
      <c r="AG41" s="42" t="str">
        <f>IF(AF41="","",COUNTIFS(Data_Table[[#All],[Week]],'Data Preparation'!$AF41,Data_Table[[#All],[Attribute Fail Rate]],'Data Preparation'!$AB$1)/COUNTIF(Data_Table[[#All],[Week]],'Data Preparation'!$AF41))</f>
        <v/>
      </c>
      <c r="AH41" s="42" t="str">
        <f>IF(AF41="","",COUNTIFS(Data_Table[[#All],[Week]],'Data Preparation'!$AF41,Data_Table[[#All],[Business Critical PF]],'Data Preparation'!$AB$1)/COUNTIF(Data_Table[[#All],[Week]],'Data Preparation'!$AF41))</f>
        <v/>
      </c>
      <c r="AI41" s="42" t="str">
        <f>IF(AF41="","",COUNTIFS(Data_Table[[#All],[Week]],'Data Preparation'!$AF41,Data_Table[[#All],[Compliance Critical]],'Data Preparation'!$AB$1)/COUNTIF(Data_Table[[#All],[Week]],'Data Preparation'!$AF41))</f>
        <v/>
      </c>
    </row>
    <row r="42" spans="32:35" x14ac:dyDescent="0.25">
      <c r="AF42" s="48"/>
      <c r="AG42" s="42" t="str">
        <f>IF(AF42="","",COUNTIFS(Data_Table[[#All],[Week]],'Data Preparation'!$AF42,Data_Table[[#All],[Attribute Fail Rate]],'Data Preparation'!$AB$1)/COUNTIF(Data_Table[[#All],[Week]],'Data Preparation'!$AF42))</f>
        <v/>
      </c>
      <c r="AH42" s="42" t="str">
        <f>IF(AF42="","",COUNTIFS(Data_Table[[#All],[Week]],'Data Preparation'!$AF42,Data_Table[[#All],[Business Critical PF]],'Data Preparation'!$AB$1)/COUNTIF(Data_Table[[#All],[Week]],'Data Preparation'!$AF42))</f>
        <v/>
      </c>
      <c r="AI42" s="42" t="str">
        <f>IF(AF42="","",COUNTIFS(Data_Table[[#All],[Week]],'Data Preparation'!$AF42,Data_Table[[#All],[Compliance Critical]],'Data Preparation'!$AB$1)/COUNTIF(Data_Table[[#All],[Week]],'Data Preparation'!$AF42))</f>
        <v/>
      </c>
    </row>
    <row r="43" spans="32:35" x14ac:dyDescent="0.25">
      <c r="AF43" s="48"/>
      <c r="AG43" s="42" t="str">
        <f>IF(AF43="","",COUNTIFS(Data_Table[[#All],[Week]],'Data Preparation'!$AF43,Data_Table[[#All],[Attribute Fail Rate]],'Data Preparation'!$AB$1)/COUNTIF(Data_Table[[#All],[Week]],'Data Preparation'!$AF43))</f>
        <v/>
      </c>
      <c r="AH43" s="42" t="str">
        <f>IF(AF43="","",COUNTIFS(Data_Table[[#All],[Week]],'Data Preparation'!$AF43,Data_Table[[#All],[Business Critical PF]],'Data Preparation'!$AB$1)/COUNTIF(Data_Table[[#All],[Week]],'Data Preparation'!$AF43))</f>
        <v/>
      </c>
      <c r="AI43" s="42" t="str">
        <f>IF(AF43="","",COUNTIFS(Data_Table[[#All],[Week]],'Data Preparation'!$AF43,Data_Table[[#All],[Compliance Critical]],'Data Preparation'!$AB$1)/COUNTIF(Data_Table[[#All],[Week]],'Data Preparation'!$AF43))</f>
        <v/>
      </c>
    </row>
    <row r="44" spans="32:35" x14ac:dyDescent="0.25">
      <c r="AF44" s="48"/>
      <c r="AG44" s="42" t="str">
        <f>IF(AF44="","",COUNTIFS(Data_Table[[#All],[Week]],'Data Preparation'!$AF44,Data_Table[[#All],[Attribute Fail Rate]],'Data Preparation'!$AB$1)/COUNTIF(Data_Table[[#All],[Week]],'Data Preparation'!$AF44))</f>
        <v/>
      </c>
      <c r="AH44" s="42" t="str">
        <f>IF(AF44="","",COUNTIFS(Data_Table[[#All],[Week]],'Data Preparation'!$AF44,Data_Table[[#All],[Business Critical PF]],'Data Preparation'!$AB$1)/COUNTIF(Data_Table[[#All],[Week]],'Data Preparation'!$AF44))</f>
        <v/>
      </c>
      <c r="AI44" s="42" t="str">
        <f>IF(AF44="","",COUNTIFS(Data_Table[[#All],[Week]],'Data Preparation'!$AF44,Data_Table[[#All],[Compliance Critical]],'Data Preparation'!$AB$1)/COUNTIF(Data_Table[[#All],[Week]],'Data Preparation'!$AF44))</f>
        <v/>
      </c>
    </row>
    <row r="45" spans="32:35" x14ac:dyDescent="0.25">
      <c r="AF45" s="48"/>
      <c r="AG45" s="42" t="str">
        <f>IF(AF45="","",COUNTIFS(Data_Table[[#All],[Week]],'Data Preparation'!$AF45,Data_Table[[#All],[Attribute Fail Rate]],'Data Preparation'!$AB$1)/COUNTIF(Data_Table[[#All],[Week]],'Data Preparation'!$AF45))</f>
        <v/>
      </c>
      <c r="AH45" s="42" t="str">
        <f>IF(AF45="","",COUNTIFS(Data_Table[[#All],[Week]],'Data Preparation'!$AF45,Data_Table[[#All],[Business Critical PF]],'Data Preparation'!$AB$1)/COUNTIF(Data_Table[[#All],[Week]],'Data Preparation'!$AF45))</f>
        <v/>
      </c>
      <c r="AI45" s="42" t="str">
        <f>IF(AF45="","",COUNTIFS(Data_Table[[#All],[Week]],'Data Preparation'!$AF45,Data_Table[[#All],[Compliance Critical]],'Data Preparation'!$AB$1)/COUNTIF(Data_Table[[#All],[Week]],'Data Preparation'!$AF45))</f>
        <v/>
      </c>
    </row>
    <row r="46" spans="32:35" x14ac:dyDescent="0.25">
      <c r="AF46" s="48"/>
      <c r="AG46" s="42" t="str">
        <f>IF(AF46="","",COUNTIFS(Data_Table[[#All],[Week]],'Data Preparation'!$AF46,Data_Table[[#All],[Attribute Fail Rate]],'Data Preparation'!$AB$1)/COUNTIF(Data_Table[[#All],[Week]],'Data Preparation'!$AF46))</f>
        <v/>
      </c>
      <c r="AH46" s="42" t="str">
        <f>IF(AF46="","",COUNTIFS(Data_Table[[#All],[Week]],'Data Preparation'!$AF46,Data_Table[[#All],[Business Critical PF]],'Data Preparation'!$AB$1)/COUNTIF(Data_Table[[#All],[Week]],'Data Preparation'!$AF46))</f>
        <v/>
      </c>
      <c r="AI46" s="42" t="str">
        <f>IF(AF46="","",COUNTIFS(Data_Table[[#All],[Week]],'Data Preparation'!$AF46,Data_Table[[#All],[Compliance Critical]],'Data Preparation'!$AB$1)/COUNTIF(Data_Table[[#All],[Week]],'Data Preparation'!$AF46))</f>
        <v/>
      </c>
    </row>
    <row r="47" spans="32:35" x14ac:dyDescent="0.25">
      <c r="AF47" s="48"/>
      <c r="AG47" s="42" t="str">
        <f>IF(AF47="","",COUNTIFS(Data_Table[[#All],[Week]],'Data Preparation'!$AF47,Data_Table[[#All],[Attribute Fail Rate]],'Data Preparation'!$AB$1)/COUNTIF(Data_Table[[#All],[Week]],'Data Preparation'!$AF47))</f>
        <v/>
      </c>
      <c r="AH47" s="42" t="str">
        <f>IF(AF47="","",COUNTIFS(Data_Table[[#All],[Week]],'Data Preparation'!$AF47,Data_Table[[#All],[Business Critical PF]],'Data Preparation'!$AB$1)/COUNTIF(Data_Table[[#All],[Week]],'Data Preparation'!$AF47))</f>
        <v/>
      </c>
      <c r="AI47" s="42" t="str">
        <f>IF(AF47="","",COUNTIFS(Data_Table[[#All],[Week]],'Data Preparation'!$AF47,Data_Table[[#All],[Compliance Critical]],'Data Preparation'!$AB$1)/COUNTIF(Data_Table[[#All],[Week]],'Data Preparation'!$AF47))</f>
        <v/>
      </c>
    </row>
    <row r="48" spans="32:35" x14ac:dyDescent="0.25">
      <c r="AF48" s="48"/>
      <c r="AG48" s="42" t="str">
        <f>IF(AF48="","",COUNTIFS(Data_Table[[#All],[Week]],'Data Preparation'!$AF48,Data_Table[[#All],[Attribute Fail Rate]],'Data Preparation'!$AB$1)/COUNTIF(Data_Table[[#All],[Week]],'Data Preparation'!$AF48))</f>
        <v/>
      </c>
      <c r="AH48" s="42" t="str">
        <f>IF(AF48="","",COUNTIFS(Data_Table[[#All],[Week]],'Data Preparation'!$AF48,Data_Table[[#All],[Business Critical PF]],'Data Preparation'!$AB$1)/COUNTIF(Data_Table[[#All],[Week]],'Data Preparation'!$AF48))</f>
        <v/>
      </c>
      <c r="AI48" s="42" t="str">
        <f>IF(AF48="","",COUNTIFS(Data_Table[[#All],[Week]],'Data Preparation'!$AF48,Data_Table[[#All],[Compliance Critical]],'Data Preparation'!$AB$1)/COUNTIF(Data_Table[[#All],[Week]],'Data Preparation'!$AF48))</f>
        <v/>
      </c>
    </row>
    <row r="49" spans="32:35" x14ac:dyDescent="0.25">
      <c r="AF49" s="48"/>
      <c r="AG49" s="42" t="str">
        <f>IF(AF49="","",COUNTIFS(Data_Table[[#All],[Week]],'Data Preparation'!$AF49,Data_Table[[#All],[Attribute Fail Rate]],'Data Preparation'!$AB$1)/COUNTIF(Data_Table[[#All],[Week]],'Data Preparation'!$AF49))</f>
        <v/>
      </c>
      <c r="AH49" s="42" t="str">
        <f>IF(AF49="","",COUNTIFS(Data_Table[[#All],[Week]],'Data Preparation'!$AF49,Data_Table[[#All],[Business Critical PF]],'Data Preparation'!$AB$1)/COUNTIF(Data_Table[[#All],[Week]],'Data Preparation'!$AF49))</f>
        <v/>
      </c>
      <c r="AI49" s="42" t="str">
        <f>IF(AF49="","",COUNTIFS(Data_Table[[#All],[Week]],'Data Preparation'!$AF49,Data_Table[[#All],[Compliance Critical]],'Data Preparation'!$AB$1)/COUNTIF(Data_Table[[#All],[Week]],'Data Preparation'!$AF49))</f>
        <v/>
      </c>
    </row>
    <row r="50" spans="32:35" x14ac:dyDescent="0.25">
      <c r="AF50" s="48"/>
      <c r="AG50" s="42" t="str">
        <f>IF(AF50="","",COUNTIFS(Data_Table[[#All],[Week]],'Data Preparation'!$AF50,Data_Table[[#All],[Attribute Fail Rate]],'Data Preparation'!$AB$1)/COUNTIF(Data_Table[[#All],[Week]],'Data Preparation'!$AF50))</f>
        <v/>
      </c>
      <c r="AH50" s="42" t="str">
        <f>IF(AF50="","",COUNTIFS(Data_Table[[#All],[Week]],'Data Preparation'!$AF50,Data_Table[[#All],[Business Critical PF]],'Data Preparation'!$AB$1)/COUNTIF(Data_Table[[#All],[Week]],'Data Preparation'!$AF50))</f>
        <v/>
      </c>
      <c r="AI50" s="42" t="str">
        <f>IF(AF50="","",COUNTIFS(Data_Table[[#All],[Week]],'Data Preparation'!$AF50,Data_Table[[#All],[Compliance Critical]],'Data Preparation'!$AB$1)/COUNTIF(Data_Table[[#All],[Week]],'Data Preparation'!$AF50))</f>
        <v/>
      </c>
    </row>
    <row r="51" spans="32:35" x14ac:dyDescent="0.25">
      <c r="AF51" s="48"/>
      <c r="AG51" s="42" t="str">
        <f>IF(AF51="","",COUNTIFS(Data_Table[[#All],[Week]],'Data Preparation'!$AF51,Data_Table[[#All],[Attribute Fail Rate]],'Data Preparation'!$AB$1)/COUNTIF(Data_Table[[#All],[Week]],'Data Preparation'!$AF51))</f>
        <v/>
      </c>
      <c r="AH51" s="42" t="str">
        <f>IF(AF51="","",COUNTIFS(Data_Table[[#All],[Week]],'Data Preparation'!$AF51,Data_Table[[#All],[Business Critical PF]],'Data Preparation'!$AB$1)/COUNTIF(Data_Table[[#All],[Week]],'Data Preparation'!$AF51))</f>
        <v/>
      </c>
      <c r="AI51" s="42" t="str">
        <f>IF(AF51="","",COUNTIFS(Data_Table[[#All],[Week]],'Data Preparation'!$AF51,Data_Table[[#All],[Compliance Critical]],'Data Preparation'!$AB$1)/COUNTIF(Data_Table[[#All],[Week]],'Data Preparation'!$AF51))</f>
        <v/>
      </c>
    </row>
    <row r="52" spans="32:35" x14ac:dyDescent="0.25">
      <c r="AF52" s="48"/>
      <c r="AG52" s="42" t="str">
        <f>IF(AF52="","",COUNTIFS(Data_Table[[#All],[Week]],'Data Preparation'!$AF52,Data_Table[[#All],[Attribute Fail Rate]],'Data Preparation'!$AB$1)/COUNTIF(Data_Table[[#All],[Week]],'Data Preparation'!$AF52))</f>
        <v/>
      </c>
      <c r="AH52" s="42" t="str">
        <f>IF(AF52="","",COUNTIFS(Data_Table[[#All],[Week]],'Data Preparation'!$AF52,Data_Table[[#All],[Business Critical PF]],'Data Preparation'!$AB$1)/COUNTIF(Data_Table[[#All],[Week]],'Data Preparation'!$AF52))</f>
        <v/>
      </c>
      <c r="AI52" s="42" t="str">
        <f>IF(AF52="","",COUNTIFS(Data_Table[[#All],[Week]],'Data Preparation'!$AF52,Data_Table[[#All],[Compliance Critical]],'Data Preparation'!$AB$1)/COUNTIF(Data_Table[[#All],[Week]],'Data Preparation'!$AF52))</f>
        <v/>
      </c>
    </row>
    <row r="53" spans="32:35" x14ac:dyDescent="0.25">
      <c r="AF53" s="48"/>
      <c r="AG53" s="42" t="str">
        <f>IF(AF53="","",COUNTIFS(Data_Table[[#All],[Week]],'Data Preparation'!$AF53,Data_Table[[#All],[Attribute Fail Rate]],'Data Preparation'!$AB$1)/COUNTIF(Data_Table[[#All],[Week]],'Data Preparation'!$AF53))</f>
        <v/>
      </c>
      <c r="AH53" s="42" t="str">
        <f>IF(AF53="","",COUNTIFS(Data_Table[[#All],[Week]],'Data Preparation'!$AF53,Data_Table[[#All],[Business Critical PF]],'Data Preparation'!$AB$1)/COUNTIF(Data_Table[[#All],[Week]],'Data Preparation'!$AF53))</f>
        <v/>
      </c>
      <c r="AI53" s="42" t="str">
        <f>IF(AF53="","",COUNTIFS(Data_Table[[#All],[Week]],'Data Preparation'!$AF53,Data_Table[[#All],[Compliance Critical]],'Data Preparation'!$AB$1)/COUNTIF(Data_Table[[#All],[Week]],'Data Preparation'!$AF53))</f>
        <v/>
      </c>
    </row>
    <row r="54" spans="32:35" x14ac:dyDescent="0.25">
      <c r="AF54" s="48"/>
      <c r="AG54" s="42" t="str">
        <f>IF(AF54="","",COUNTIFS(Data_Table[[#All],[Week]],'Data Preparation'!$AF54,Data_Table[[#All],[Attribute Fail Rate]],'Data Preparation'!$AB$1)/COUNTIF(Data_Table[[#All],[Week]],'Data Preparation'!$AF54))</f>
        <v/>
      </c>
      <c r="AH54" s="42" t="str">
        <f>IF(AF54="","",COUNTIFS(Data_Table[[#All],[Week]],'Data Preparation'!$AF54,Data_Table[[#All],[Business Critical PF]],'Data Preparation'!$AB$1)/COUNTIF(Data_Table[[#All],[Week]],'Data Preparation'!$AF54))</f>
        <v/>
      </c>
      <c r="AI54" s="42" t="str">
        <f>IF(AF54="","",COUNTIFS(Data_Table[[#All],[Week]],'Data Preparation'!$AF54,Data_Table[[#All],[Compliance Critical]],'Data Preparation'!$AB$1)/COUNTIF(Data_Table[[#All],[Week]],'Data Preparation'!$AF54))</f>
        <v/>
      </c>
    </row>
  </sheetData>
  <dataConsolidate/>
  <conditionalFormatting sqref="AZ2:AZ18">
    <cfRule type="top10" dxfId="21" priority="1" rank="3"/>
  </conditionalFormatting>
  <dataValidations disablePrompts="1" count="4">
    <dataValidation type="list" allowBlank="1" showInputMessage="1" showErrorMessage="1" sqref="AB1 AJ1 AL1" xr:uid="{E3CDCFFA-70A5-4948-82EF-70614C3CD2F5}">
      <formula1>"Pass,Fail"</formula1>
    </dataValidation>
    <dataValidation type="list" allowBlank="1" showInputMessage="1" showErrorMessage="1" sqref="BF2" xr:uid="{6D9692C9-7F95-41A8-9E19-83F87C69E46E}">
      <formula1>Month_List</formula1>
    </dataValidation>
    <dataValidation type="list" allowBlank="1" showInputMessage="1" showErrorMessage="1" sqref="BH2" xr:uid="{E3D9BA46-4159-4E91-8E77-7604790A0129}">
      <formula1>Region_List</formula1>
    </dataValidation>
    <dataValidation type="list" allowBlank="1" showInputMessage="1" showErrorMessage="1" sqref="BI2" xr:uid="{656658C4-739B-45C2-B765-C09F8B220706}">
      <formula1>Agent_List</formula1>
    </dataValidation>
  </dataValidations>
  <pageMargins left="0.7" right="0.7" top="0.75" bottom="0.75" header="0.3" footer="0.3"/>
  <pageSetup orientation="portrait" r:id="rId5"/>
  <drawing r:id="rId6"/>
  <legacyDrawing r:id="rId7"/>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C03663C-6DE7-4FD6-A723-8FD0F6033177}">
          <x14:formula1>
            <xm:f>OFFSET(Background!$A$1,1,MATCH($BF$2,Background!$A$1:$M$1,0)-1,COUNTA(OFFSET(Background!$A$1,1,MATCH($BF$2,Background!$A$1:$M$1,0)-1,10)),1)</xm:f>
          </x14:formula1>
          <xm:sqref>BG2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1073A0-BE88-49E2-862A-900D3955E422}">
  <sheetPr codeName="Sheet6"/>
  <dimension ref="A1:W31"/>
  <sheetViews>
    <sheetView showGridLines="0" topLeftCell="S1" workbookViewId="0">
      <selection activeCell="U3" sqref="U3"/>
    </sheetView>
  </sheetViews>
  <sheetFormatPr defaultRowHeight="15" x14ac:dyDescent="0.25"/>
  <cols>
    <col min="1" max="13" width="13.85546875" style="22" customWidth="1"/>
    <col min="14" max="14" width="9.140625" customWidth="1"/>
    <col min="15" max="15" width="10.5703125" style="22" bestFit="1" customWidth="1"/>
    <col min="16" max="16" width="9.140625" style="59" customWidth="1"/>
    <col min="17" max="17" width="13.85546875" style="22" customWidth="1"/>
    <col min="19" max="19" width="22.5703125" style="22" bestFit="1" customWidth="1"/>
    <col min="21" max="21" width="22.5703125" style="25" bestFit="1" customWidth="1"/>
    <col min="23" max="23" width="28.28515625" style="25" bestFit="1" customWidth="1"/>
  </cols>
  <sheetData>
    <row r="1" spans="1:23" x14ac:dyDescent="0.25">
      <c r="A1" s="30" t="s">
        <v>179</v>
      </c>
      <c r="B1" s="30" t="str" cm="1">
        <f t="array" ref="B1:I1">TRANSPOSE(_xlfn.SORTBY(_xlfn.UNIQUE(Data_Table[Month]),MATCH(_xlfn.UNIQUE(Data_Table[Month]),Custom,0)))</f>
        <v>Apr</v>
      </c>
      <c r="C1" s="30" t="str">
        <v>May</v>
      </c>
      <c r="D1" s="30" t="str">
        <v>Jun</v>
      </c>
      <c r="E1" s="30" t="str">
        <v>Jul</v>
      </c>
      <c r="F1" s="30" t="str">
        <v>Aug</v>
      </c>
      <c r="G1" s="30" t="str">
        <v>Sep</v>
      </c>
      <c r="H1" s="30" t="str">
        <v>Oct</v>
      </c>
      <c r="I1" s="30" t="str">
        <v>Nov</v>
      </c>
      <c r="J1" s="30"/>
      <c r="K1" s="30"/>
      <c r="L1" s="30"/>
      <c r="M1" s="30"/>
      <c r="O1" s="30" t="s">
        <v>137</v>
      </c>
      <c r="Q1" s="30" t="s">
        <v>176</v>
      </c>
      <c r="S1" s="30" t="s">
        <v>175</v>
      </c>
      <c r="U1" s="30" t="s">
        <v>135</v>
      </c>
      <c r="W1" s="30" t="s">
        <v>262</v>
      </c>
    </row>
    <row r="2" spans="1:23" x14ac:dyDescent="0.25">
      <c r="A2" s="22" t="s">
        <v>180</v>
      </c>
      <c r="B2" s="22" t="str">
        <f>IF(B1="","","All Weeks")</f>
        <v>All Weeks</v>
      </c>
      <c r="C2" s="22" t="str">
        <f t="shared" ref="C2:M2" si="0">IF(C1="","","All Weeks")</f>
        <v>All Weeks</v>
      </c>
      <c r="D2" s="22" t="str">
        <f t="shared" si="0"/>
        <v>All Weeks</v>
      </c>
      <c r="E2" s="22" t="str">
        <f t="shared" si="0"/>
        <v>All Weeks</v>
      </c>
      <c r="F2" s="22" t="str">
        <f t="shared" si="0"/>
        <v>All Weeks</v>
      </c>
      <c r="G2" s="22" t="str">
        <f t="shared" si="0"/>
        <v>All Weeks</v>
      </c>
      <c r="H2" s="22" t="str">
        <f t="shared" si="0"/>
        <v>All Weeks</v>
      </c>
      <c r="I2" s="22" t="str">
        <f t="shared" si="0"/>
        <v>All Weeks</v>
      </c>
      <c r="J2" s="22" t="str">
        <f t="shared" si="0"/>
        <v/>
      </c>
      <c r="K2" s="22" t="str">
        <f t="shared" si="0"/>
        <v/>
      </c>
      <c r="L2" s="22" t="str">
        <f t="shared" si="0"/>
        <v/>
      </c>
      <c r="M2" s="22" t="str">
        <f t="shared" si="0"/>
        <v/>
      </c>
      <c r="O2" s="22" t="s">
        <v>179</v>
      </c>
      <c r="Q2" s="31"/>
      <c r="S2" s="22" t="str" cm="1">
        <f t="array" ref="S2">IF(OR('Overview Dashboard'!B9="All Months",'Overview Dashboard'!E9="All Weeks"),"All Products",IF(COUNTA(_xlfn.UNIQUE(_xlfn._xlws.FILTER(Data_Table[Product Pillar],(Data_Table[Month]='Overview Dashboard'!$B$9)*(Data_Table[Week]='Overview Dashboard'!$E$9))))&lt;=1,"","All Products"))</f>
        <v>All Products</v>
      </c>
      <c r="U2" s="34" t="str" cm="1">
        <f t="array" ref="U2">IF(OR('Overview Dashboard'!B9="All Months",'Overview Dashboard'!E9="All Weeks"),"All Regions",IF(COUNTA(_xlfn.UNIQUE(_xlfn._xlws.FILTER(Data_Table[Product Pillar],(Data_Table[Month]='Overview Dashboard'!$B$9)*(Data_Table[Week]='Overview Dashboard'!$E$9))))&lt;=1,"","All Regions"))</f>
        <v>All Regions</v>
      </c>
      <c r="W2" s="34" t="str" cm="1">
        <f t="array" ref="W2">IF(OR('Overview Dashboard'!B9="All Months",'Overview Dashboard'!E9="All Weeks"),"All Agents",IF(COUNTA(_xlfn.UNIQUE(_xlfn._xlws.FILTER(Data_Table[Product Pillar],(Data_Table[Month]='Overview Dashboard'!$B$9)*(Data_Table[Week]='Overview Dashboard'!$E$9))))&lt;=1,"","All Agents"))</f>
        <v>All Agents</v>
      </c>
    </row>
    <row r="3" spans="1:23" x14ac:dyDescent="0.25">
      <c r="A3" s="31" cm="1">
        <f t="array" ref="A3:A12">_xlfn._xlws.SORT(_xlfn.UNIQUE(Data_Table[Week]),1,1)</f>
        <v>14</v>
      </c>
      <c r="B3" s="31" cm="1">
        <f t="array" ref="B3">_xlfn._xlws.SORT(IFERROR(_xlfn.UNIQUE(_xlfn._xlws.FILTER(Data_Table[Week],Data_Table[Month]=Background!B1)),""),1,1)</f>
        <v>14</v>
      </c>
      <c r="C3" s="31" cm="1">
        <f t="array" ref="C3">_xlfn._xlws.SORT(IFERROR(_xlfn.UNIQUE(_xlfn._xlws.FILTER(Data_Table[Week],Data_Table[Month]=Background!C1)),""),1,1)</f>
        <v>19</v>
      </c>
      <c r="D3" s="31" cm="1">
        <f t="array" ref="D3">_xlfn._xlws.SORT(IFERROR(_xlfn.UNIQUE(_xlfn._xlws.FILTER(Data_Table[Week],Data_Table[Month]=Background!D1)),""),1,1)</f>
        <v>23</v>
      </c>
      <c r="E3" s="31" cm="1">
        <f t="array" ref="E3">_xlfn._xlws.SORT(IFERROR(_xlfn.UNIQUE(_xlfn._xlws.FILTER(Data_Table[Week],Data_Table[Month]=Background!E1)),""),1,1)</f>
        <v>27</v>
      </c>
      <c r="F3" s="31" cm="1">
        <f t="array" ref="F3">_xlfn._xlws.SORT(IFERROR(_xlfn.UNIQUE(_xlfn._xlws.FILTER(Data_Table[Week],Data_Table[Month]=Background!F1)),""),1,1)</f>
        <v>32</v>
      </c>
      <c r="G3" s="31" cm="1">
        <f t="array" ref="G3">_xlfn._xlws.SORT(IFERROR(_xlfn.UNIQUE(_xlfn._xlws.FILTER(Data_Table[Week],Data_Table[Month]=Background!G1)),""),1,1)</f>
        <v>36</v>
      </c>
      <c r="H3" s="31" cm="1">
        <f t="array" ref="H3:H4">_xlfn._xlws.SORT(IFERROR(_xlfn.UNIQUE(_xlfn._xlws.FILTER(Data_Table[Week],Data_Table[Month]=Background!H1)),""),1,1)</f>
        <v>44</v>
      </c>
      <c r="I3" s="31" cm="1">
        <f t="array" ref="I3:I5">_xlfn._xlws.SORT(IFERROR(_xlfn.UNIQUE(_xlfn._xlws.FILTER(Data_Table[Week],Data_Table[Month]=Background!I1)),""),1,1)</f>
        <v>45</v>
      </c>
      <c r="J3" s="31" t="str" cm="1">
        <f t="array" ref="J3">_xlfn._xlws.SORT(IFERROR(_xlfn.UNIQUE(_xlfn._xlws.FILTER(Data_Table[Week],Data_Table[Month]=Background!J1)),""),1,1)</f>
        <v/>
      </c>
      <c r="K3" s="31" t="str" cm="1">
        <f t="array" ref="K3">_xlfn._xlws.SORT(IFERROR(_xlfn.UNIQUE(_xlfn._xlws.FILTER(Data_Table[Week],Data_Table[Month]=Background!K1)),""),1,1)</f>
        <v/>
      </c>
      <c r="L3" s="31" t="str" cm="1">
        <f t="array" ref="L3">_xlfn._xlws.SORT(IFERROR(_xlfn.UNIQUE(_xlfn._xlws.FILTER(Data_Table[Week],Data_Table[Month]=Background!L1)),""),1,1)</f>
        <v/>
      </c>
      <c r="M3" s="31" t="str" cm="1">
        <f t="array" ref="M3">_xlfn._xlws.SORT(IFERROR(_xlfn.UNIQUE(_xlfn._xlws.FILTER(Data_Table[Week],Data_Table[Month]=Background!M1)),""),1,1)</f>
        <v/>
      </c>
      <c r="O3" s="22" t="str" cm="1">
        <f t="array" ref="O3:O10">_xlfn.SORTBY(_xlfn.UNIQUE(Data_Table[Month]),MATCH(_xlfn.UNIQUE(Data_Table[Month]),Custom,0))</f>
        <v>Apr</v>
      </c>
      <c r="Q3" s="31" t="s">
        <v>245</v>
      </c>
      <c r="S3" s="31" t="str" cm="1">
        <f t="array" ref="S3:S8">IF(OR('Overview Dashboard'!B9="All Months",'Overview Dashboard'!E9="All Weeks"),_xlfn._xlws.SORT(_xlfn.UNIQUE(Data_Table[Product Pillar]),1,-1),IFERROR(_xlfn._xlws.SORT(_xlfn.UNIQUE(_xlfn._xlws.FILTER(Data_Table[Product Pillar],(Data_Table[Month]='Overview Dashboard'!$B$9)*(Data_Table[Week]='Overview Dashboard'!$E$9))),1,-1),""))</f>
        <v>Platforms &amp; API</v>
      </c>
      <c r="U3" s="35" t="str" cm="1">
        <f t="array" ref="U3:U6">IF(OR('Overview Dashboard'!B9="All Months",'Overview Dashboard'!E9="All Weeks"),_xlfn._xlws.SORT(_xlfn.UNIQUE(Data_Table[Region]),1,1),IFERROR(_xlfn._xlws.SORT(_xlfn.UNIQUE(_xlfn._xlws.FILTER(Data_Table[Region],(Data_Table[Month]='Overview Dashboard'!$B$9)*(Data_Table[Week]='Overview Dashboard'!$E$9))),1,1),""))</f>
        <v>APAC</v>
      </c>
      <c r="W3" s="35" t="str" cm="1">
        <f t="array" ref="W3:W31">IF(OR('Overview Dashboard'!B9="All Months",'Overview Dashboard'!E9="All Weeks"),_xlfn._xlws.SORT(_xlfn.UNIQUE(Data_Table[Agent Name]),1,1),IFERROR(_xlfn._xlws.SORT(_xlfn.UNIQUE(_xlfn._xlws.FILTER(Data_Table[Agent Name],(Data_Table[Month]='Overview Dashboard'!$B$9)*(Data_Table[Week]='Overview Dashboard'!$E$9))),1,1),""))</f>
        <v>Agnes Tang</v>
      </c>
    </row>
    <row r="4" spans="1:23" x14ac:dyDescent="0.25">
      <c r="A4" s="31">
        <v>19</v>
      </c>
      <c r="B4" s="31"/>
      <c r="C4" s="31"/>
      <c r="D4" s="31"/>
      <c r="E4" s="31"/>
      <c r="F4" s="31"/>
      <c r="G4" s="31"/>
      <c r="H4" s="31">
        <v>45</v>
      </c>
      <c r="I4" s="31">
        <v>46</v>
      </c>
      <c r="J4" s="31"/>
      <c r="K4" s="31"/>
      <c r="L4" s="31"/>
      <c r="M4" s="31"/>
      <c r="O4" s="22" t="str">
        <v>May</v>
      </c>
      <c r="Q4" s="31" t="s">
        <v>246</v>
      </c>
      <c r="S4" s="31" t="str">
        <v>Performance &amp; Delivery</v>
      </c>
      <c r="U4" s="35" t="str">
        <v>EUI</v>
      </c>
      <c r="W4" s="35" t="str">
        <v>Aldrin Sneha Priyanka</v>
      </c>
    </row>
    <row r="5" spans="1:23" x14ac:dyDescent="0.25">
      <c r="A5" s="22">
        <v>23</v>
      </c>
      <c r="I5" s="22">
        <v>48</v>
      </c>
      <c r="O5" s="22" t="str">
        <v>Jun</v>
      </c>
      <c r="Q5" s="31" t="s">
        <v>247</v>
      </c>
      <c r="S5" s="22" t="str">
        <v>Native Branding Ads</v>
      </c>
      <c r="U5" s="35" t="str">
        <v>METAP</v>
      </c>
      <c r="W5" s="35" t="str">
        <v>Angelina Voon Suk Yung</v>
      </c>
    </row>
    <row r="6" spans="1:23" x14ac:dyDescent="0.25">
      <c r="A6" s="22">
        <v>27</v>
      </c>
      <c r="O6" s="22" t="str">
        <v>Jul</v>
      </c>
      <c r="Q6" s="31" t="s">
        <v>248</v>
      </c>
      <c r="S6" s="22" t="str">
        <v>Measurement</v>
      </c>
      <c r="U6" s="25" t="str">
        <v xml:space="preserve">NA </v>
      </c>
      <c r="W6" s="25" t="str">
        <v>Bonnie Williams</v>
      </c>
    </row>
    <row r="7" spans="1:23" x14ac:dyDescent="0.25">
      <c r="A7" s="22">
        <v>32</v>
      </c>
      <c r="O7" s="22" t="str">
        <v>Aug</v>
      </c>
      <c r="Q7" s="31" t="s">
        <v>138</v>
      </c>
      <c r="S7" s="22" t="str">
        <v/>
      </c>
      <c r="W7" s="25" t="str">
        <v>Brianna Arrighi</v>
      </c>
    </row>
    <row r="8" spans="1:23" x14ac:dyDescent="0.25">
      <c r="A8" s="22">
        <v>36</v>
      </c>
      <c r="O8" s="22" t="str">
        <v>Sep</v>
      </c>
      <c r="Q8" s="31" t="s">
        <v>249</v>
      </c>
      <c r="S8" s="22">
        <v>0</v>
      </c>
      <c r="W8" s="25" t="str">
        <v>Carolina Gonzalez</v>
      </c>
    </row>
    <row r="9" spans="1:23" x14ac:dyDescent="0.25">
      <c r="A9" s="22">
        <v>44</v>
      </c>
      <c r="O9" s="22" t="str">
        <v>Oct</v>
      </c>
      <c r="Q9" s="31" t="s">
        <v>250</v>
      </c>
      <c r="W9" s="25" t="str">
        <v>Deniece Inda</v>
      </c>
    </row>
    <row r="10" spans="1:23" x14ac:dyDescent="0.25">
      <c r="A10" s="22">
        <v>45</v>
      </c>
      <c r="O10" s="22" t="str">
        <v>Nov</v>
      </c>
      <c r="Q10" s="31" t="s">
        <v>251</v>
      </c>
      <c r="W10" s="25" t="str">
        <v>Eduardo Villa</v>
      </c>
    </row>
    <row r="11" spans="1:23" x14ac:dyDescent="0.25">
      <c r="A11" s="22">
        <v>46</v>
      </c>
      <c r="Q11" s="31" t="s">
        <v>252</v>
      </c>
      <c r="W11" s="25" t="str">
        <v>Elijah Cummings</v>
      </c>
    </row>
    <row r="12" spans="1:23" x14ac:dyDescent="0.25">
      <c r="A12" s="22">
        <v>48</v>
      </c>
      <c r="Q12" s="31" t="s">
        <v>253</v>
      </c>
      <c r="W12" s="25" t="str">
        <v>Emmanuel Ehiman</v>
      </c>
    </row>
    <row r="13" spans="1:23" x14ac:dyDescent="0.25">
      <c r="Q13" s="31" t="s">
        <v>254</v>
      </c>
      <c r="W13" s="25" t="str">
        <v>Grant Gundersen</v>
      </c>
    </row>
    <row r="14" spans="1:23" x14ac:dyDescent="0.25">
      <c r="Q14" s="31" t="s">
        <v>255</v>
      </c>
      <c r="W14" s="25" t="str">
        <v>Islam Ghiboub</v>
      </c>
    </row>
    <row r="15" spans="1:23" x14ac:dyDescent="0.25">
      <c r="W15" s="25" t="str">
        <v>Jessica Hernandez</v>
      </c>
    </row>
    <row r="16" spans="1:23" x14ac:dyDescent="0.25">
      <c r="W16" s="25" t="str">
        <v xml:space="preserve">Jiao Ni (Annie)
</v>
      </c>
    </row>
    <row r="17" spans="23:23" x14ac:dyDescent="0.25">
      <c r="W17" s="25" t="str">
        <v>Leandro Morais</v>
      </c>
    </row>
    <row r="18" spans="23:23" x14ac:dyDescent="0.25">
      <c r="W18" s="25" t="str">
        <v>Nadia Ahmed</v>
      </c>
    </row>
    <row r="19" spans="23:23" x14ac:dyDescent="0.25">
      <c r="W19" s="25" t="str">
        <v>Nuraini Hassan</v>
      </c>
    </row>
    <row r="20" spans="23:23" x14ac:dyDescent="0.25">
      <c r="W20" s="25" t="str">
        <v>Oka Anazodo</v>
      </c>
    </row>
    <row r="21" spans="23:23" x14ac:dyDescent="0.25">
      <c r="W21" s="25" t="str">
        <v>Prakash Reddy</v>
      </c>
    </row>
    <row r="22" spans="23:23" x14ac:dyDescent="0.25">
      <c r="W22" s="25" t="str">
        <v>Rafael Cardoso</v>
      </c>
    </row>
    <row r="23" spans="23:23" x14ac:dyDescent="0.25">
      <c r="W23" s="25" t="str">
        <v>Ray Jones</v>
      </c>
    </row>
    <row r="24" spans="23:23" x14ac:dyDescent="0.25">
      <c r="W24" s="25" t="str">
        <v>Rupesh Vaswani</v>
      </c>
    </row>
    <row r="25" spans="23:23" x14ac:dyDescent="0.25">
      <c r="W25" s="25" t="str">
        <v>Samantha Rodriguez</v>
      </c>
    </row>
    <row r="26" spans="23:23" x14ac:dyDescent="0.25">
      <c r="W26" s="25" t="str">
        <v>Sithu Hein</v>
      </c>
    </row>
    <row r="27" spans="23:23" x14ac:dyDescent="0.25">
      <c r="W27" s="25" t="str">
        <v>Syed Muhammad Fahad Ismail</v>
      </c>
    </row>
    <row r="28" spans="23:23" x14ac:dyDescent="0.25">
      <c r="W28" s="25" t="str">
        <v>Tomasz Bulawa</v>
      </c>
    </row>
    <row r="29" spans="23:23" x14ac:dyDescent="0.25">
      <c r="W29" s="25" t="str">
        <v>Tran Thi Thao Trinh (Liz)</v>
      </c>
    </row>
    <row r="30" spans="23:23" x14ac:dyDescent="0.25">
      <c r="W30" s="25" t="e">
        <v>#N/A</v>
      </c>
    </row>
    <row r="31" spans="23:23" x14ac:dyDescent="0.25">
      <c r="W31" s="25">
        <v>0</v>
      </c>
    </row>
  </sheetData>
  <phoneticPr fontId="3" type="noConversion"/>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D727FC62-3492-4459-9FBE-241F46137B8D}">
  <ds:schemaRefs/>
</ds:datastoreItem>
</file>

<file path=customXml/itemProps2.xml><?xml version="1.0" encoding="utf-8"?>
<ds:datastoreItem xmlns:ds="http://schemas.openxmlformats.org/officeDocument/2006/customXml" ds:itemID="{C2F2F7D1-1BBC-4903-BAAD-54365B83AED7}">
  <ds:schemaRefs/>
</ds:datastoreItem>
</file>

<file path=customXml/itemProps3.xml><?xml version="1.0" encoding="utf-8"?>
<ds:datastoreItem xmlns:ds="http://schemas.openxmlformats.org/officeDocument/2006/customXml" ds:itemID="{34A6DE95-2A62-477B-AC27-D570F73DC3C2}">
  <ds:schemaRefs/>
</ds:datastoreItem>
</file>

<file path=customXml/itemProps4.xml><?xml version="1.0" encoding="utf-8"?>
<ds:datastoreItem xmlns:ds="http://schemas.openxmlformats.org/officeDocument/2006/customXml" ds:itemID="{08B69381-709F-438A-AB60-3ECBD99D2F45}">
  <ds:schemaRefs/>
</ds:datastoreItem>
</file>

<file path=customXml/itemProps5.xml><?xml version="1.0" encoding="utf-8"?>
<ds:datastoreItem xmlns:ds="http://schemas.openxmlformats.org/officeDocument/2006/customXml" ds:itemID="{50125970-168A-4449-B5B3-BE9CC53C45D7}">
  <ds:schemaRefs/>
</ds:datastoreItem>
</file>

<file path=customXml/itemProps6.xml><?xml version="1.0" encoding="utf-8"?>
<ds:datastoreItem xmlns:ds="http://schemas.openxmlformats.org/officeDocument/2006/customXml" ds:itemID="{E0884A1A-A602-4120-8BF7-B712CBC312D4}">
  <ds:schemaRefs/>
</ds:datastoreItem>
</file>

<file path=docMetadata/LabelInfo.xml><?xml version="1.0" encoding="utf-8"?>
<clbl:labelList xmlns:clbl="http://schemas.microsoft.com/office/2020/mipLabelMetadata">
  <clbl:label id="{8bb759f6-5337-4dc5-b19b-e74b6da11f8f}" enabled="1" method="Standard" siteId="{41ff26dc-250f-4b13-8981-739be8610c21}" contentBits="2"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vt:i4>
      </vt:variant>
    </vt:vector>
  </HeadingPairs>
  <TitlesOfParts>
    <vt:vector size="11" baseType="lpstr">
      <vt:lpstr>Data Sheet</vt:lpstr>
      <vt:lpstr>Product Mapping</vt:lpstr>
      <vt:lpstr>Agent Mapping</vt:lpstr>
      <vt:lpstr>Overview Dashboard</vt:lpstr>
      <vt:lpstr>Agent Level Dashboard (1)</vt:lpstr>
      <vt:lpstr>Agent Level Dashboard (2)</vt:lpstr>
      <vt:lpstr>Neutral Tickets Dashboard</vt:lpstr>
      <vt:lpstr>remaining</vt:lpstr>
      <vt:lpstr>Data Preparation</vt:lpstr>
      <vt:lpstr>Background</vt:lpstr>
      <vt:lpstr>Custom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Andrew Reda Soliman</cp:lastModifiedBy>
  <dcterms:created xsi:type="dcterms:W3CDTF">2022-11-18T05:49:31Z</dcterms:created>
  <dcterms:modified xsi:type="dcterms:W3CDTF">2022-12-03T00:10:46Z</dcterms:modified>
</cp:coreProperties>
</file>